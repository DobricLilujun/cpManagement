
<file path=[Content_Types].xml><?xml version="1.0" encoding="utf-8"?>
<Types xmlns="http://schemas.openxmlformats.org/package/2006/content-types">
  <Default Extension="bin" ContentType="application/vnd.openxmlformats-officedocument.spreadsheetml.printerSettings"/>
  <Override PartName="/xl/worksheets/sheet9.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activeX/activeX1.bin" ContentType="application/vnd.ms-office.activeX"/>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Default Extension="emf" ContentType="image/x-emf"/>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activeX/activeX1.xml" ContentType="application/vnd.ms-office.activeX+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ctrlProps/ctrlProp5.xml" ContentType="application/vnd.ms-excel.controlproperties+xml"/>
  <Override PartName="/xl/sharedStrings.xml" ContentType="application/vnd.openxmlformats-officedocument.spreadsheetml.sharedStrings+xml"/>
  <Override PartName="/xl/ctrlProps/ctrlProp4.xml" ContentType="application/vnd.ms-excel.controlproperties+xml"/>
  <Override PartName="/xl/ctrlProps/ctrlProp3.xml" ContentType="application/vnd.ms-excel.controlproperties+xml"/>
  <Override PartName="/xl/ctrlProps/ctrlProp2.xml" ContentType="application/vnd.ms-excel.controlpropertie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5" rupBuild="4506" codeName="{B7FE6334-C1A2-E50D-BD3D-5F4D41BBC2E3}"/>
  <workbookPr codeName="ThisWorkbook"/>
  <bookViews>
    <workbookView xWindow="0" yWindow="0" windowWidth="28800" windowHeight="12090"/>
  </bookViews>
  <sheets>
    <sheet name="快速打印" sheetId="7" r:id="rId1"/>
    <sheet name="安检数据" sheetId="9" state="veryHidden" r:id="rId2"/>
    <sheet name="综检数据" sheetId="10" state="veryHidden" r:id="rId3"/>
    <sheet name="安检委托书" sheetId="12" r:id="rId4"/>
    <sheet name="申请表" sheetId="2" r:id="rId5"/>
    <sheet name="人工检验表" sheetId="1" r:id="rId6"/>
    <sheet name="汽车排放检验外检表" sheetId="20" state="veryHidden" r:id="rId7"/>
    <sheet name="综检委托书" sheetId="14" r:id="rId8"/>
    <sheet name="综检核查表" sheetId="8" r:id="rId9"/>
    <sheet name="综检项目判定表" sheetId="15" r:id="rId10"/>
    <sheet name="人工检验记录单" sheetId="16" r:id="rId11"/>
    <sheet name="达标车辆核查记录表客车" sheetId="18" r:id="rId12"/>
    <sheet name="达标车辆核查记录表货车" sheetId="19" r:id="rId13"/>
    <sheet name="等级评定复核表" sheetId="17" r:id="rId14"/>
  </sheets>
  <definedNames>
    <definedName name="_xlnm.Print_Area" localSheetId="3">安检委托书!$A$1:$F$54</definedName>
    <definedName name="_xlnm.Print_Area" localSheetId="12">达标车辆核查记录表货车!$A$1:$L$24</definedName>
    <definedName name="_xlnm.Print_Area" localSheetId="11">达标车辆核查记录表客车!$A$1:$M$53</definedName>
    <definedName name="_xlnm.Print_Area" localSheetId="13">等级评定复核表!$A$1:$F$26</definedName>
    <definedName name="_xlnm.Print_Area" localSheetId="0">快速打印!$B$2:$D$18</definedName>
    <definedName name="_xlnm.Print_Area" localSheetId="6">汽车排放检验外检表!$A$1:$H$36</definedName>
    <definedName name="_xlnm.Print_Area" localSheetId="5">人工检验表!$A$1:$Q$42</definedName>
    <definedName name="_xlnm.Print_Area" localSheetId="10">人工检验记录单!$A$1:$G$19</definedName>
    <definedName name="_xlnm.Print_Area" localSheetId="4">申请表!$A$1:$J$22</definedName>
    <definedName name="_xlnm.Print_Area" localSheetId="8">综检核查表!$A$1:$H$25</definedName>
    <definedName name="_xlnm.Print_Area" localSheetId="7">综检委托书!$A$1:$F$52</definedName>
    <definedName name="_xlnm.Print_Area" localSheetId="9">综检项目判定表!$A$1:$H$17</definedName>
  </definedNames>
  <calcPr calcId="125725"/>
</workbook>
</file>

<file path=xl/calcChain.xml><?xml version="1.0" encoding="utf-8"?>
<calcChain xmlns="http://schemas.openxmlformats.org/spreadsheetml/2006/main">
  <c r="D25" i="17"/>
  <c r="C2"/>
  <c r="F18" i="16"/>
  <c r="G2" i="15"/>
  <c r="F20" i="8"/>
  <c r="B2" i="20"/>
  <c r="P4" i="1"/>
  <c r="I22" i="2"/>
  <c r="E6" i="20"/>
  <c r="C39" i="1"/>
  <c r="G3" i="19"/>
  <c r="G5"/>
  <c r="F12" i="14"/>
  <c r="C2" i="15"/>
  <c r="C4" i="8"/>
  <c r="E4" i="2"/>
  <c r="L5" i="18"/>
  <c r="F12" i="12"/>
  <c r="B3" i="17"/>
  <c r="E4" i="16"/>
  <c r="D2" i="19"/>
  <c r="D12" i="12"/>
  <c r="I5" i="18"/>
  <c r="D4"/>
  <c r="D12" i="14"/>
  <c r="I2" i="18"/>
  <c r="F2" i="15"/>
  <c r="I4" i="1"/>
  <c r="M3"/>
  <c r="F4" i="15"/>
  <c r="J39" i="1"/>
  <c r="M2" i="18"/>
  <c r="M3"/>
  <c r="G2" i="19"/>
  <c r="F12" i="15"/>
  <c r="I3" i="18"/>
  <c r="F3" i="1"/>
  <c r="F14" i="8"/>
  <c r="B4" i="20"/>
  <c r="F9" i="14"/>
  <c r="D8" i="12"/>
  <c r="F10"/>
  <c r="F8" i="8"/>
  <c r="F3" i="17"/>
  <c r="H8" i="20"/>
  <c r="F15" i="8"/>
  <c r="B7" i="20"/>
  <c r="F10" i="14"/>
  <c r="E3" i="2"/>
  <c r="D4" i="19"/>
  <c r="P3" i="1"/>
  <c r="D5" i="18"/>
  <c r="B9" i="20"/>
  <c r="F9" i="15"/>
  <c r="M4" i="18"/>
  <c r="F11" i="15"/>
  <c r="D10" i="12"/>
  <c r="G4" i="16"/>
  <c r="I3" i="2"/>
  <c r="F8" i="12"/>
  <c r="H5" i="20"/>
  <c r="B4" i="17"/>
  <c r="G6" i="19"/>
  <c r="D6"/>
  <c r="F12" i="8"/>
  <c r="F10"/>
  <c r="D5" i="19"/>
  <c r="F7" i="8"/>
  <c r="F11"/>
  <c r="D2" i="18"/>
  <c r="K2" i="19"/>
  <c r="E7"/>
  <c r="F5" i="15"/>
  <c r="F8"/>
  <c r="B4" i="16"/>
  <c r="F7" i="15"/>
  <c r="E4" i="20"/>
  <c r="C3" i="1"/>
  <c r="K5" i="19"/>
  <c r="K3"/>
  <c r="H8" i="2"/>
  <c r="E8" i="20"/>
  <c r="D4" i="17"/>
  <c r="E7" i="20"/>
  <c r="D10" i="14"/>
  <c r="F6" i="15"/>
  <c r="C3" i="8"/>
  <c r="D9" i="14"/>
  <c r="E5" i="2"/>
  <c r="O39" i="1"/>
  <c r="C4"/>
  <c r="F9" i="8"/>
  <c r="D8" i="2"/>
</calcChain>
</file>

<file path=xl/sharedStrings.xml><?xml version="1.0" encoding="utf-8"?>
<sst xmlns="http://schemas.openxmlformats.org/spreadsheetml/2006/main" count="794" uniqueCount="589">
  <si>
    <t>车检基本信息打印系统</t>
  </si>
  <si>
    <t>序号</t>
  </si>
  <si>
    <t>打印表格</t>
  </si>
  <si>
    <t>备注</t>
  </si>
  <si>
    <t>安检委托书</t>
  </si>
  <si>
    <t>安
检</t>
  </si>
  <si>
    <t>车牌证申请表</t>
  </si>
  <si>
    <t>安检人工检验表</t>
  </si>
  <si>
    <t>环保外观检查记录表</t>
  </si>
  <si>
    <t>综检委托书</t>
  </si>
  <si>
    <t>综检</t>
  </si>
  <si>
    <t>综检燃油核查表</t>
  </si>
  <si>
    <t>综检项目判定表</t>
  </si>
  <si>
    <t>人工检验记录单</t>
  </si>
  <si>
    <t>制作：李海青</t>
  </si>
  <si>
    <t>DW</t>
  </si>
  <si>
    <t>MakeDate</t>
  </si>
  <si>
    <t>CPH</t>
  </si>
  <si>
    <t>DJDate</t>
  </si>
  <si>
    <t>DPH</t>
  </si>
  <si>
    <t>PZLBStr</t>
  </si>
  <si>
    <t>KilomCount</t>
  </si>
  <si>
    <t>CLLBXStr</t>
  </si>
  <si>
    <t>FDJH</t>
  </si>
  <si>
    <t>FDJXH</t>
  </si>
  <si>
    <t>changPH</t>
  </si>
  <si>
    <t>XingHao</t>
  </si>
  <si>
    <t>PaiLiang</t>
  </si>
  <si>
    <t>EDGLRPM</t>
  </si>
  <si>
    <t>EDGL</t>
  </si>
  <si>
    <t>ZCZL</t>
  </si>
  <si>
    <t>ZBZL</t>
  </si>
  <si>
    <t>SYXZStr</t>
  </si>
  <si>
    <t>address</t>
  </si>
  <si>
    <t>number</t>
  </si>
  <si>
    <t>postcode</t>
  </si>
  <si>
    <t>pailiang</t>
  </si>
  <si>
    <t>gangshu</t>
  </si>
  <si>
    <t>fadongjixinghao</t>
  </si>
  <si>
    <t>排量</t>
  </si>
  <si>
    <t>缸数</t>
  </si>
  <si>
    <t>发动机型号</t>
  </si>
  <si>
    <t>ZKRS</t>
  </si>
  <si>
    <t>ZCCD</t>
  </si>
  <si>
    <t>ZCKD</t>
  </si>
  <si>
    <t>ZCGD</t>
  </si>
  <si>
    <t>QDXS</t>
  </si>
  <si>
    <t>QDLLTGG</t>
  </si>
  <si>
    <t>JIANCBGDBH</t>
  </si>
  <si>
    <t>FuelStr</t>
  </si>
  <si>
    <t>MaxSpeed</t>
  </si>
  <si>
    <t>CarColor</t>
  </si>
  <si>
    <t>赵乔娜</t>
  </si>
  <si>
    <t>晋D38831</t>
  </si>
  <si>
    <t>LRDS6PEB2HH600208</t>
  </si>
  <si>
    <t>大型汽车</t>
  </si>
  <si>
    <t>重型半挂牵引车</t>
  </si>
  <si>
    <t>ISGe5-400</t>
  </si>
  <si>
    <t>欧曼</t>
  </si>
  <si>
    <t>BJ4253SNFKB-AC</t>
  </si>
  <si>
    <t>6×4双后驱双后驻车</t>
  </si>
  <si>
    <t>12R22.5 16PR</t>
  </si>
  <si>
    <t>山西省潞城市</t>
  </si>
  <si>
    <t>140481004201901140021</t>
  </si>
  <si>
    <t xml:space="preserve">柴油        </t>
  </si>
  <si>
    <t>蓝色</t>
  </si>
  <si>
    <t>安检数据</t>
  </si>
  <si>
    <t>良    好</t>
  </si>
  <si>
    <t xml:space="preserve">              机动车牌证申请表</t>
  </si>
  <si>
    <t>编号：</t>
  </si>
  <si>
    <t>申请人信息栏</t>
  </si>
  <si>
    <t>机
动   
车      
所       
有      
人</t>
  </si>
  <si>
    <t>姓名/名称</t>
  </si>
  <si>
    <t>邮政编码</t>
  </si>
  <si>
    <t>邮寄地址</t>
  </si>
  <si>
    <t>手机号码</t>
  </si>
  <si>
    <t>固定电话</t>
  </si>
  <si>
    <t>-----</t>
  </si>
  <si>
    <t>代    
理       
人</t>
  </si>
  <si>
    <t>申请业务事项</t>
  </si>
  <si>
    <t>号牌种类</t>
  </si>
  <si>
    <t>号牌号码</t>
  </si>
  <si>
    <t>申请事项</t>
  </si>
  <si>
    <r>
      <rPr>
        <sz val="11"/>
        <color rgb="FF000000"/>
        <rFont val="宋体"/>
        <family val="3"/>
        <charset val="134"/>
        <scheme val="minor"/>
      </rPr>
      <t xml:space="preserve"> </t>
    </r>
    <r>
      <rPr>
        <sz val="12"/>
        <color rgb="FF000000"/>
        <rFont val="宋体"/>
        <family val="3"/>
        <charset val="134"/>
        <scheme val="minor"/>
      </rPr>
      <t xml:space="preserve">   年 审   </t>
    </r>
    <r>
      <rPr>
        <sz val="11"/>
        <color rgb="FF000000"/>
        <rFont val="宋体"/>
        <family val="3"/>
        <charset val="134"/>
        <scheme val="minor"/>
      </rPr>
      <t xml:space="preserve">           申请原因及明细</t>
    </r>
  </si>
  <si>
    <t>号   
牌</t>
  </si>
  <si>
    <t>口补领</t>
  </si>
  <si>
    <t xml:space="preserve">   □丢失           □灭失           □前号牌           □后号牌</t>
  </si>
  <si>
    <t>口换领</t>
  </si>
  <si>
    <t xml:space="preserve">   □前号牌                          □后号牌</t>
  </si>
  <si>
    <t>行  
驶  
证</t>
  </si>
  <si>
    <t xml:space="preserve">   □丢失                            □灭失</t>
  </si>
  <si>
    <t>登 
记  
证  
书</t>
  </si>
  <si>
    <t>口申领</t>
  </si>
  <si>
    <t xml:space="preserve">   □丢失           □灭失          □未获得  </t>
  </si>
  <si>
    <t xml:space="preserve">
检
验    
合
格  
标 
志</t>
  </si>
  <si>
    <r>
      <rPr>
        <sz val="11"/>
        <color rgb="FF000000"/>
        <rFont val="Wingdings"/>
        <charset val="2"/>
      </rPr>
      <t>þ</t>
    </r>
    <r>
      <rPr>
        <sz val="11"/>
        <color rgb="FF000000"/>
        <rFont val="宋体"/>
        <family val="3"/>
        <charset val="134"/>
        <scheme val="minor"/>
      </rPr>
      <t>申请</t>
    </r>
  </si>
  <si>
    <r>
      <rPr>
        <sz val="11"/>
        <color rgb="FF000000"/>
        <rFont val="宋体"/>
        <family val="3"/>
        <charset val="134"/>
        <scheme val="minor"/>
      </rPr>
      <t xml:space="preserve">   </t>
    </r>
    <r>
      <rPr>
        <sz val="11"/>
        <color rgb="FF000000"/>
        <rFont val="Wingdings"/>
        <charset val="2"/>
      </rPr>
      <t>þ</t>
    </r>
    <r>
      <rPr>
        <sz val="11"/>
        <color rgb="FF000000"/>
        <rFont val="宋体"/>
        <family val="3"/>
        <charset val="134"/>
        <scheme val="minor"/>
      </rPr>
      <t>在登记地车辆管理所申请          □在登记地以外车辆管理所申请</t>
    </r>
  </si>
  <si>
    <t xml:space="preserve">   □丢失                           □灭失</t>
  </si>
  <si>
    <t>机动车所有人及代理人对申
请材料的真实有效性负责。</t>
  </si>
  <si>
    <t xml:space="preserve">机动车所有人(代理人)签字:                                        </t>
  </si>
  <si>
    <t xml:space="preserve">  </t>
  </si>
  <si>
    <t xml:space="preserve">            机动车安全技术检验表(人工检验部分) </t>
  </si>
  <si>
    <t>一、基本信息</t>
  </si>
  <si>
    <t>号牌号码（编号）：</t>
  </si>
  <si>
    <t>车辆类型：</t>
  </si>
  <si>
    <t>使用性质：</t>
  </si>
  <si>
    <t>里程表读数：</t>
  </si>
  <si>
    <t>Km</t>
  </si>
  <si>
    <t>车辆出厂日期：</t>
  </si>
  <si>
    <t>初次登记日期：</t>
  </si>
  <si>
    <t>检验日期：</t>
  </si>
  <si>
    <t>二、检验结果</t>
  </si>
  <si>
    <t>检验项目</t>
  </si>
  <si>
    <t>判定</t>
  </si>
  <si>
    <t>1</t>
  </si>
  <si>
    <t>车辆唯      一  性  
检  查</t>
  </si>
  <si>
    <r>
      <rPr>
        <sz val="9"/>
        <color rgb="FF000000"/>
        <rFont val="宋体"/>
        <family val="3"/>
        <charset val="134"/>
      </rPr>
      <t>1.</t>
    </r>
    <r>
      <rPr>
        <sz val="9"/>
        <color rgb="FF000000"/>
        <rFont val="宋体"/>
        <family val="3"/>
        <charset val="134"/>
        <scheme val="minor"/>
      </rPr>
      <t>号牌号码/车辆类型</t>
    </r>
  </si>
  <si>
    <t>4</t>
  </si>
  <si>
    <t>安全
装置
检查
(续)</t>
  </si>
  <si>
    <t>27.车辆尾部标志板</t>
  </si>
  <si>
    <r>
      <rPr>
        <sz val="9"/>
        <color rgb="FF000000"/>
        <rFont val="宋体"/>
        <family val="3"/>
        <charset val="134"/>
      </rPr>
      <t>2.</t>
    </r>
    <r>
      <rPr>
        <sz val="9"/>
        <color rgb="FF000000"/>
        <rFont val="宋体"/>
        <family val="3"/>
        <charset val="134"/>
        <scheme val="minor"/>
      </rPr>
      <t>车辆品牌/型号</t>
    </r>
  </si>
  <si>
    <t>28.侧后防护装置</t>
  </si>
  <si>
    <r>
      <rPr>
        <sz val="9"/>
        <color rgb="FF000000"/>
        <rFont val="宋体"/>
        <family val="3"/>
        <charset val="134"/>
      </rPr>
      <t>3.</t>
    </r>
    <r>
      <rPr>
        <sz val="9"/>
        <color rgb="FF000000"/>
        <rFont val="宋体"/>
        <family val="3"/>
        <charset val="134"/>
        <scheme val="minor"/>
      </rPr>
      <t>辆识别代号    
（或整车出厂编号）</t>
    </r>
  </si>
  <si>
    <t>29.应急锤</t>
  </si>
  <si>
    <t>30.急救箱</t>
  </si>
  <si>
    <t>4.发动机号码      
  （或电动机号码）</t>
  </si>
  <si>
    <t>31.限速功能或限速装置</t>
  </si>
  <si>
    <t>32.防抱死制动装置</t>
  </si>
  <si>
    <t>5.车辆颜色和外形</t>
  </si>
  <si>
    <t>33.辅助制动装置</t>
  </si>
  <si>
    <t>2</t>
  </si>
  <si>
    <t>车辆特    征参数
检  查</t>
  </si>
  <si>
    <t>6.外廓尺寸</t>
  </si>
  <si>
    <t>34.盘式制动器</t>
  </si>
  <si>
    <t>7.轴距</t>
  </si>
  <si>
    <t>35.紧急切断装置</t>
  </si>
  <si>
    <t>8.整备质量</t>
  </si>
  <si>
    <t>36.发动机舱自动灭火装置</t>
  </si>
  <si>
    <t>9.核定人数</t>
  </si>
  <si>
    <t>37.手动机械断电开关</t>
  </si>
  <si>
    <t>10.核定载质量</t>
  </si>
  <si>
    <t>38.副制动踏板</t>
  </si>
  <si>
    <r>
      <rPr>
        <sz val="9"/>
        <color rgb="FF000000"/>
        <rFont val="宋体"/>
        <family val="3"/>
        <charset val="134"/>
        <scheme val="minor"/>
      </rPr>
      <t>11.</t>
    </r>
    <r>
      <rPr>
        <sz val="9"/>
        <color rgb="FF000000"/>
        <rFont val="宋体"/>
        <family val="3"/>
        <charset val="134"/>
        <scheme val="minor"/>
      </rPr>
      <t>栏板高度</t>
    </r>
  </si>
  <si>
    <t>39.校车标志灯和校车停车指示标志牌</t>
  </si>
  <si>
    <t>12.后轴钢板弹簧片数</t>
  </si>
  <si>
    <t>40.危险货物运输车标志</t>
  </si>
  <si>
    <t>13.客车应急出口</t>
  </si>
  <si>
    <t>41.肢体残疾人操纵辅助装置</t>
  </si>
  <si>
    <t>14.客车乘客通道和引道</t>
  </si>
  <si>
    <t>联网查询车辆事放/违法信息(对发生过造成人员伤亡交通事故的送检机动车,人工检验时应重点检查损伤部位和损伤情况)</t>
  </si>
  <si>
    <t>15.货厢</t>
  </si>
  <si>
    <t>3</t>
  </si>
  <si>
    <t>车辆外
观检查</t>
  </si>
  <si>
    <t>16.车身外观</t>
  </si>
  <si>
    <t>17.外观标识、标准和标牌</t>
  </si>
  <si>
    <t>18.外部照明和信号灯具</t>
  </si>
  <si>
    <t>6</t>
  </si>
  <si>
    <t>底盘
动态
检验</t>
  </si>
  <si>
    <t>42.转向系</t>
  </si>
  <si>
    <t>19.轮胎</t>
  </si>
  <si>
    <t>43.传动系</t>
  </si>
  <si>
    <t>20.号牌及号牌安装</t>
  </si>
  <si>
    <t>44.制动系</t>
  </si>
  <si>
    <t>21.加装/改装灯具</t>
  </si>
  <si>
    <t>45.仪表和指示器</t>
  </si>
  <si>
    <t>安全装置检查</t>
  </si>
  <si>
    <t>22.汽车安全带</t>
  </si>
  <si>
    <t>7</t>
  </si>
  <si>
    <t>车辆
底盘
部件
检查</t>
  </si>
  <si>
    <t>46.转向系部件</t>
  </si>
  <si>
    <t>23.机动车用三角警告牌</t>
  </si>
  <si>
    <t>47.传动系部件</t>
  </si>
  <si>
    <t>24.灭火器</t>
  </si>
  <si>
    <t>48.行驶系部件</t>
  </si>
  <si>
    <t>25.行驶记录装置</t>
  </si>
  <si>
    <t>49.制动系部件</t>
  </si>
  <si>
    <t>26.车身反光标识</t>
  </si>
  <si>
    <t>50.其它部件</t>
  </si>
  <si>
    <t>不合格项(填写编号和名称)</t>
  </si>
  <si>
    <t>不合格项目说明</t>
  </si>
  <si>
    <t xml:space="preserve">车辆外廓尺寸(mmXmmXmm)：                                   </t>
  </si>
  <si>
    <t>整备质量（Kg)：</t>
  </si>
  <si>
    <t>＿</t>
  </si>
  <si>
    <t xml:space="preserve">机动车所有人:                          </t>
  </si>
  <si>
    <t>手机电话：</t>
  </si>
  <si>
    <t>地址/邮箱：</t>
  </si>
  <si>
    <t>检验员建议:</t>
  </si>
  <si>
    <t xml:space="preserve">                                        检验员签字：</t>
  </si>
  <si>
    <t>注1:判定栏中填“○”为合格“x”为不合格“-“表示不适用于送检车                                           
注2:当车辆外廓尺寸、整备质量检验项目使用仪器自动测量并打印在仪器设备检验表格中时，本表相应参数可不填。</t>
  </si>
  <si>
    <t>汽车排放检验外检表</t>
  </si>
  <si>
    <t>外检日期：</t>
  </si>
  <si>
    <t>基本信息</t>
  </si>
  <si>
    <t>车辆类型</t>
  </si>
  <si>
    <t>车辆生产企业</t>
  </si>
  <si>
    <t>驱动方式</t>
  </si>
  <si>
    <t>进气方式</t>
  </si>
  <si>
    <t>累计行驶里程/km</t>
  </si>
  <si>
    <t>最大设计总质量kg</t>
  </si>
  <si>
    <t>基准质量/kg</t>
  </si>
  <si>
    <t>燃油型式</t>
  </si>
  <si>
    <t>车辆出厂日期</t>
  </si>
  <si>
    <t>发动机排量/L</t>
  </si>
  <si>
    <t>燃料类型</t>
  </si>
  <si>
    <t>额定转速（r/min)</t>
  </si>
  <si>
    <t>气缸数</t>
  </si>
  <si>
    <t>发动机额定功率/kw</t>
  </si>
  <si>
    <t>变速器型式</t>
  </si>
  <si>
    <t>SCR</t>
  </si>
  <si>
    <t>□有  □无</t>
  </si>
  <si>
    <t>SCR型号</t>
  </si>
  <si>
    <t>-</t>
  </si>
  <si>
    <t>DPF</t>
  </si>
  <si>
    <t>□有□无</t>
  </si>
  <si>
    <t>DPF型号</t>
  </si>
  <si>
    <t>OBD</t>
  </si>
  <si>
    <t>催化转换器型号</t>
  </si>
  <si>
    <t>检验类别：  □注册登记检验     □在用车检验</t>
  </si>
  <si>
    <t>检验方法： □双怠速法     □稳态工况法    □自由加速法    □加载减速法</t>
  </si>
  <si>
    <t>外观检验</t>
  </si>
  <si>
    <t>检查项目</t>
  </si>
  <si>
    <r>
      <rPr>
        <sz val="9"/>
        <color theme="1"/>
        <rFont val="宋体"/>
        <family val="3"/>
        <charset val="134"/>
      </rPr>
      <t>是</t>
    </r>
    <r>
      <rPr>
        <vertAlign val="superscript"/>
        <sz val="9"/>
        <color theme="1"/>
        <rFont val="宋体"/>
        <family val="3"/>
        <charset val="134"/>
      </rPr>
      <t>2）</t>
    </r>
  </si>
  <si>
    <r>
      <rPr>
        <sz val="9"/>
        <color theme="1"/>
        <rFont val="宋体"/>
        <family val="3"/>
        <charset val="134"/>
      </rPr>
      <t>否</t>
    </r>
    <r>
      <rPr>
        <vertAlign val="superscript"/>
        <sz val="9"/>
        <color theme="1"/>
        <rFont val="宋体"/>
        <family val="3"/>
        <charset val="134"/>
      </rPr>
      <t>2）</t>
    </r>
  </si>
  <si>
    <t>车辆机械状况是否良好</t>
  </si>
  <si>
    <t>排气污染控制装置是否齐全，正常</t>
  </si>
  <si>
    <t>否决项目</t>
  </si>
  <si>
    <t>车辆是否存在明显（严重）烧机油或者严重冒黑烟现场</t>
  </si>
  <si>
    <t>曲轴箱通风系统是否正常</t>
  </si>
  <si>
    <t>燃油蒸发控制系统是否正常</t>
  </si>
  <si>
    <t>发动机燃油系统采用电控泵（注册登记检验时为否决项）</t>
  </si>
  <si>
    <t>车上仪表工作是否正常</t>
  </si>
  <si>
    <t>有无可能影响安全或引起测试偏差的机械故障</t>
  </si>
  <si>
    <t>车辆进、排气系统是否有任何泄露</t>
  </si>
  <si>
    <t>车辆的发动机、变速箱和冷却系统等有无明显的液体渗漏</t>
  </si>
  <si>
    <t>是否带ODB系统</t>
  </si>
  <si>
    <t>轮胎气压是否正常</t>
  </si>
  <si>
    <t>轮胎是否干燥、清洁</t>
  </si>
  <si>
    <t>是否关闭车上空调、暖风等附属设备</t>
  </si>
  <si>
    <t>是否已经中断车辆上可能影响测试正常进行的功能，如ASR、ESP、EPC牵引力控制或自动制动系统等</t>
  </si>
  <si>
    <t>车辆油箱和油品是否异常</t>
  </si>
  <si>
    <t>是否适合工况法检测</t>
  </si>
  <si>
    <t>外观检验结果</t>
  </si>
  <si>
    <t>□合格         □不合格</t>
  </si>
  <si>
    <t>检验员：</t>
  </si>
  <si>
    <t>修理后复检（1）</t>
  </si>
  <si>
    <t>修理后复检（2）</t>
  </si>
  <si>
    <t>备注： 1）仅适用于混合动力车辆；      2）判定栏“是”、“否”：“√”</t>
  </si>
  <si>
    <t>综检数据</t>
  </si>
  <si>
    <t>良   好</t>
  </si>
  <si>
    <t>山西省道路运输车辆燃油消耗量达标车型车辆参数及配置核查表</t>
  </si>
  <si>
    <t>核查编号：</t>
  </si>
  <si>
    <t>ZJ18-0009</t>
  </si>
  <si>
    <t>车牌号码</t>
  </si>
  <si>
    <t>达标车型批次/编号</t>
  </si>
  <si>
    <t>车属单位</t>
  </si>
  <si>
    <t>生产企业</t>
  </si>
  <si>
    <t>山西科视</t>
  </si>
  <si>
    <t>核查项目</t>
  </si>
  <si>
    <t>核查方法</t>
  </si>
  <si>
    <t>核查记录</t>
  </si>
  <si>
    <t>核查结果</t>
  </si>
  <si>
    <t>车辆型号</t>
  </si>
  <si>
    <t>车辆铭牌和行驶证上标称的型号</t>
  </si>
  <si>
    <t>载客人数
（含驾驶员）</t>
  </si>
  <si>
    <t>实查客车座椅（卧铺）的总数量含
驾驶员和导游座椅</t>
  </si>
  <si>
    <t>外形尺寸</t>
  </si>
  <si>
    <t>按国家标准GB/T12673的规定进行实
测</t>
  </si>
  <si>
    <t>整备质量</t>
  </si>
  <si>
    <t>实测</t>
  </si>
  <si>
    <t>总质量</t>
  </si>
  <si>
    <t>车辆铭牌上标称的质量</t>
  </si>
  <si>
    <t>发动机铭牌上标称的型号</t>
  </si>
  <si>
    <t>底盘型号</t>
  </si>
  <si>
    <t>底盘铭牌上标称的型号</t>
  </si>
  <si>
    <t>RT0000001</t>
  </si>
  <si>
    <t>驱动形式</t>
  </si>
  <si>
    <t>实查：如4X2、4X4、6X2
6X4、8X4等</t>
  </si>
  <si>
    <t>轮胎规格</t>
  </si>
  <si>
    <t>实查</t>
  </si>
  <si>
    <t>货厢栏板内
尺寸或容积</t>
  </si>
  <si>
    <t>普通栏板车、厢式车、仓栅车、
蓬式车、自卸车等实测尺寸、罐
式车按罐体铭牌核查容积</t>
  </si>
  <si>
    <t>345*3222*11222 mm</t>
  </si>
  <si>
    <t>牵引座最大
允许承载质量</t>
  </si>
  <si>
    <t>半挂牵引车铭牌和合格证上标称
的鞍座最大允许总质量</t>
  </si>
  <si>
    <t>234444 kg</t>
  </si>
  <si>
    <t>准拖挂车总质量</t>
  </si>
  <si>
    <t>半挂牵引车行驶证和车辆铭牌上
标称的准牵引总质量</t>
  </si>
  <si>
    <t>0098812 kg</t>
  </si>
  <si>
    <t>核查
结论</t>
  </si>
  <si>
    <t>核查人</t>
  </si>
  <si>
    <t>核查单位（章）</t>
  </si>
  <si>
    <t>注：1、核查编号由核查单位根据管理需要自行编排：</t>
  </si>
  <si>
    <r>
      <rPr>
        <b/>
        <sz val="8"/>
        <color theme="1"/>
        <rFont val="宋体"/>
        <family val="3"/>
        <charset val="134"/>
        <scheme val="minor"/>
      </rPr>
      <t xml:space="preserve">    2、核查结果栏中，符合要求的划“</t>
    </r>
    <r>
      <rPr>
        <b/>
        <sz val="8"/>
        <color indexed="8"/>
        <rFont val="宋体"/>
        <family val="3"/>
        <charset val="134"/>
      </rPr>
      <t>o”不符合要求的划“×”不适应核查车型的项目划“/"</t>
    </r>
  </si>
  <si>
    <t xml:space="preserve">    3、核查结论加盖“合格”或“不合格”印章，“合格”使用蓝色印章，“不合格”使用红色印章</t>
  </si>
  <si>
    <t xml:space="preserve">    4、本表一式三份，两份交由核查申请人，一份由核查单位留存：</t>
  </si>
  <si>
    <t xml:space="preserve">    5、道路运输车辆燃油消耗量达标车型查询网址：http://atestsc.mot.gov.cn</t>
  </si>
  <si>
    <t>道路运输车辆综合性能检测项目判定表</t>
  </si>
  <si>
    <t>被核查车辆单位名称</t>
  </si>
  <si>
    <t>车牌号码：</t>
  </si>
  <si>
    <t>核  查  方  法</t>
  </si>
  <si>
    <t>实查客车座椅（卧铺）的总数量含,驾驶员和导游座椅</t>
  </si>
  <si>
    <t>按国家标准GB/T12673的规定进行实测</t>
  </si>
  <si>
    <t>QQQQQQQQQ</t>
  </si>
  <si>
    <t>实查：如4X2、4X4、6X2、6X4、8X4等</t>
  </si>
  <si>
    <t>普通栏板车、厢式车、仓栅车、蓬式车、自卸车等实测尺寸、罐式车按罐体铭牌核查容积</t>
  </si>
  <si>
    <t>111111111 mm</t>
  </si>
  <si>
    <t>半挂牵引车铭牌和合格证上标称的鞍座最大允许总质量</t>
  </si>
  <si>
    <t>222333333 kg</t>
  </si>
  <si>
    <t>半挂牵引车行驶证和车辆铭牌上标称的准牵引总质量</t>
  </si>
  <si>
    <t>444444444 kg</t>
  </si>
  <si>
    <t>核  查  人</t>
  </si>
  <si>
    <t>道路运输车辆人工检验记录单</t>
  </si>
  <si>
    <r>
      <rPr>
        <sz val="12"/>
        <color theme="1"/>
        <rFont val="微软雅黑"/>
        <family val="2"/>
        <charset val="134"/>
      </rPr>
      <t>号牌号码：</t>
    </r>
    <r>
      <rPr>
        <u/>
        <sz val="12"/>
        <color theme="1"/>
        <rFont val="微软雅黑"/>
        <family val="2"/>
        <charset val="134"/>
      </rPr>
      <t xml:space="preserve">               </t>
    </r>
    <r>
      <rPr>
        <sz val="12"/>
        <color theme="1"/>
        <rFont val="微软雅黑"/>
        <family val="2"/>
        <charset val="134"/>
      </rPr>
      <t xml:space="preserve"> </t>
    </r>
    <r>
      <rPr>
        <u/>
        <sz val="12"/>
        <color theme="1"/>
        <rFont val="微软雅黑"/>
        <family val="2"/>
        <charset val="134"/>
      </rPr>
      <t xml:space="preserve">                  </t>
    </r>
  </si>
  <si>
    <t>号牌种类：</t>
  </si>
  <si>
    <t>记录单编号：</t>
  </si>
  <si>
    <t>分类</t>
  </si>
  <si>
    <t>编号</t>
  </si>
  <si>
    <t>属性</t>
  </si>
  <si>
    <t>评定</t>
  </si>
  <si>
    <t>唯一性
认定</t>
  </si>
  <si>
    <t>★</t>
  </si>
  <si>
    <t>品牌型号</t>
  </si>
  <si>
    <t>车身颜色</t>
  </si>
  <si>
    <t>发动机号</t>
  </si>
  <si>
    <t>VIN号</t>
  </si>
  <si>
    <t>外观检查</t>
  </si>
  <si>
    <t>门、窗玻璃</t>
  </si>
  <si>
    <t>1.□齐全完好
2.□有□无大于25mm且易破碎的裂纹和穿孔
3.密封□良好□不良</t>
  </si>
  <si>
    <t>■</t>
  </si>
  <si>
    <t>停车楔</t>
  </si>
  <si>
    <t>检验员（签字）：</t>
  </si>
  <si>
    <t>注：评定栏中填“○”为合格；“×”为不合格。</t>
  </si>
  <si>
    <t>道路运输达标车辆核查记录表（客车）</t>
  </si>
  <si>
    <t>业户名称</t>
  </si>
  <si>
    <t>车辆号牌</t>
  </si>
  <si>
    <t>VIN</t>
  </si>
  <si>
    <t>;;;;ll</t>
  </si>
  <si>
    <t>产品型号</t>
  </si>
  <si>
    <t>载客人数(含驾驶员位)</t>
  </si>
  <si>
    <t>燃料种类</t>
  </si>
  <si>
    <t>外廓尺寸
（长×宽×高）（mm）</t>
  </si>
  <si>
    <r>
      <rPr>
        <sz val="9"/>
        <color rgb="FF000000"/>
        <rFont val="仿宋_GB2312"/>
        <charset val="134"/>
      </rPr>
      <t>总质量（</t>
    </r>
    <r>
      <rPr>
        <sz val="9"/>
        <color indexed="8"/>
        <rFont val="Times New Roman"/>
        <family val="1"/>
      </rPr>
      <t>kg</t>
    </r>
    <r>
      <rPr>
        <sz val="9"/>
        <color indexed="8"/>
        <rFont val="仿宋_GB2312"/>
        <charset val="134"/>
      </rPr>
      <t>）</t>
    </r>
  </si>
  <si>
    <r>
      <rPr>
        <sz val="9"/>
        <color rgb="FF000000"/>
        <rFont val="仿宋_GB2312"/>
        <charset val="134"/>
      </rPr>
      <t>整备质量（</t>
    </r>
    <r>
      <rPr>
        <sz val="9"/>
        <color indexed="8"/>
        <rFont val="Times New Roman"/>
        <family val="1"/>
      </rPr>
      <t>kg</t>
    </r>
    <r>
      <rPr>
        <sz val="9"/>
        <color indexed="8"/>
        <rFont val="仿宋_GB2312"/>
        <charset val="134"/>
      </rPr>
      <t>）</t>
    </r>
  </si>
  <si>
    <r>
      <rPr>
        <sz val="10"/>
        <color rgb="FF000000"/>
        <rFont val="宋体"/>
        <family val="3"/>
        <charset val="134"/>
      </rPr>
      <t>结</t>
    </r>
    <r>
      <rPr>
        <sz val="10"/>
        <color rgb="FF000000"/>
        <rFont val="仿宋_GB2312"/>
        <charset val="134"/>
      </rPr>
      <t>构布置</t>
    </r>
  </si>
  <si>
    <r>
      <rPr>
        <sz val="9"/>
        <color rgb="FF000000"/>
        <rFont val="仿宋_GB2312"/>
        <charset val="134"/>
      </rPr>
      <t>燃气瓶</t>
    </r>
    <r>
      <rPr>
        <sz val="9"/>
        <color rgb="FF000000"/>
        <rFont val="宋体"/>
        <family val="3"/>
        <charset val="134"/>
      </rPr>
      <t>数</t>
    </r>
    <r>
      <rPr>
        <sz val="9"/>
        <color rgb="FF000000"/>
        <rFont val="仿宋_GB2312"/>
        <charset val="134"/>
      </rPr>
      <t>量及位置
（燃气汽车）</t>
    </r>
  </si>
  <si>
    <r>
      <rPr>
        <sz val="9"/>
        <color rgb="FF000000"/>
        <rFont val="仿宋_GB2312"/>
        <charset val="134"/>
      </rPr>
      <t>行李舱净高</t>
    </r>
    <r>
      <rPr>
        <sz val="9"/>
        <color indexed="8"/>
        <rFont val="Times New Roman"/>
        <family val="1"/>
      </rPr>
      <t>(m)</t>
    </r>
  </si>
  <si>
    <t xml:space="preserve">     </t>
  </si>
  <si>
    <t>行李舱约束装置</t>
  </si>
  <si>
    <t>□有；□无</t>
  </si>
  <si>
    <t>驾驶员上方地板</t>
  </si>
  <si>
    <t>后围应急窗布置</t>
  </si>
  <si>
    <t>□外推式；□击碎玻璃式</t>
  </si>
  <si>
    <t>乘客门数量及位置</t>
  </si>
  <si>
    <r>
      <rPr>
        <sz val="9"/>
        <color rgb="FF000000"/>
        <rFont val="仿宋_GB2312"/>
        <charset val="134"/>
      </rPr>
      <t>个，□前</t>
    </r>
    <r>
      <rPr>
        <sz val="9"/>
        <color indexed="8"/>
        <rFont val="Times New Roman"/>
        <family val="1"/>
      </rPr>
      <t>;</t>
    </r>
    <r>
      <rPr>
        <sz val="9"/>
        <color indexed="8"/>
        <rFont val="仿宋_GB2312"/>
        <charset val="134"/>
      </rPr>
      <t>□中</t>
    </r>
    <r>
      <rPr>
        <sz val="9"/>
        <color indexed="8"/>
        <rFont val="Times New Roman"/>
        <family val="1"/>
      </rPr>
      <t>;</t>
    </r>
    <r>
      <rPr>
        <sz val="9"/>
        <color indexed="8"/>
        <rFont val="仿宋_GB2312"/>
        <charset val="134"/>
      </rPr>
      <t>□后</t>
    </r>
  </si>
  <si>
    <t>应急门数量及位置</t>
  </si>
  <si>
    <r>
      <rPr>
        <sz val="9"/>
        <color rgb="FF000000"/>
        <rFont val="仿宋_GB2312"/>
        <charset val="134"/>
      </rPr>
      <t>个</t>
    </r>
    <r>
      <rPr>
        <sz val="9"/>
        <color indexed="8"/>
        <rFont val="Times New Roman"/>
        <family val="1"/>
      </rPr>
      <t>,</t>
    </r>
    <r>
      <rPr>
        <sz val="9"/>
        <color indexed="8"/>
        <rFont val="仿宋_GB2312"/>
        <charset val="134"/>
      </rPr>
      <t>□车身左侧</t>
    </r>
  </si>
  <si>
    <r>
      <rPr>
        <sz val="9"/>
        <color rgb="FF000000"/>
        <rFont val="仿宋_GB2312"/>
        <charset val="134"/>
      </rPr>
      <t>车内</t>
    </r>
    <r>
      <rPr>
        <sz val="9"/>
        <color rgb="FF000000"/>
        <rFont val="仿宋_GB2312"/>
        <charset val="134"/>
      </rPr>
      <t>通道折</t>
    </r>
    <r>
      <rPr>
        <sz val="9"/>
        <color rgb="FF000000"/>
        <rFont val="仿宋_GB2312"/>
        <charset val="134"/>
      </rPr>
      <t>叠</t>
    </r>
    <r>
      <rPr>
        <sz val="9"/>
        <color rgb="FF000000"/>
        <rFont val="仿宋_GB2312"/>
        <charset val="134"/>
      </rPr>
      <t>座椅</t>
    </r>
  </si>
  <si>
    <t>踏步区座椅布置</t>
  </si>
  <si>
    <t>安全出口数量</t>
  </si>
  <si>
    <t>个</t>
  </si>
  <si>
    <t>发动机位置</t>
  </si>
  <si>
    <t>□前置；□中置；□后置</t>
  </si>
  <si>
    <r>
      <rPr>
        <sz val="9"/>
        <color rgb="FF000000"/>
        <rFont val="仿宋_GB2312"/>
        <charset val="134"/>
      </rPr>
      <t>应急门引道宽度（</t>
    </r>
    <r>
      <rPr>
        <sz val="9"/>
        <color indexed="8"/>
        <rFont val="Times New Roman"/>
        <family val="1"/>
      </rPr>
      <t>mm</t>
    </r>
    <r>
      <rPr>
        <sz val="9"/>
        <color indexed="8"/>
        <rFont val="仿宋_GB2312"/>
        <charset val="134"/>
      </rPr>
      <t>）</t>
    </r>
  </si>
  <si>
    <t>车辆配置</t>
  </si>
  <si>
    <t>整车</t>
  </si>
  <si>
    <r>
      <rPr>
        <sz val="9"/>
        <color rgb="FF000000"/>
        <rFont val="仿宋_GB2312"/>
        <charset val="134"/>
      </rPr>
      <t>电子稳定性控制系统（</t>
    </r>
    <r>
      <rPr>
        <sz val="9"/>
        <color indexed="8"/>
        <rFont val="Times New Roman"/>
        <family val="1"/>
      </rPr>
      <t>ESC</t>
    </r>
    <r>
      <rPr>
        <sz val="9"/>
        <color indexed="8"/>
        <rFont val="仿宋_GB2312"/>
        <charset val="134"/>
      </rPr>
      <t>）</t>
    </r>
    <r>
      <rPr>
        <vertAlign val="superscript"/>
        <sz val="9"/>
        <color indexed="8"/>
        <rFont val="Times New Roman"/>
        <family val="1"/>
      </rPr>
      <t>1)</t>
    </r>
  </si>
  <si>
    <t>卫星定位系统车载终端</t>
  </si>
  <si>
    <t>乘员座位数标识</t>
  </si>
  <si>
    <r>
      <rPr>
        <sz val="9"/>
        <color rgb="FF000000"/>
        <rFont val="仿宋_GB2312"/>
        <charset val="134"/>
      </rPr>
      <t>车道偏离预警系统（</t>
    </r>
    <r>
      <rPr>
        <sz val="9"/>
        <color indexed="8"/>
        <rFont val="Times New Roman"/>
        <family val="1"/>
      </rPr>
      <t>LDWS</t>
    </r>
    <r>
      <rPr>
        <sz val="9"/>
        <color indexed="8"/>
        <rFont val="仿宋_GB2312"/>
        <charset val="134"/>
      </rPr>
      <t>）</t>
    </r>
  </si>
  <si>
    <t>视频监控系统监控区域</t>
  </si>
  <si>
    <t>□驾驶区；□乘客门区；□乘客区；□车外前部区</t>
  </si>
  <si>
    <r>
      <rPr>
        <sz val="9"/>
        <color rgb="FF000000"/>
        <rFont val="仿宋_GB2312"/>
        <charset val="134"/>
      </rPr>
      <t>自动紧急制动系统（</t>
    </r>
    <r>
      <rPr>
        <sz val="9"/>
        <color indexed="8"/>
        <rFont val="Times New Roman"/>
        <family val="1"/>
      </rPr>
      <t>AEBS</t>
    </r>
    <r>
      <rPr>
        <sz val="9"/>
        <color indexed="8"/>
        <rFont val="仿宋_GB2312"/>
        <charset val="134"/>
      </rPr>
      <t>）</t>
    </r>
    <r>
      <rPr>
        <vertAlign val="superscript"/>
        <sz val="9"/>
        <color indexed="8"/>
        <rFont val="Times New Roman"/>
        <family val="1"/>
      </rPr>
      <t>1)</t>
    </r>
  </si>
  <si>
    <t>安全标志</t>
  </si>
  <si>
    <r>
      <rPr>
        <sz val="9"/>
        <color rgb="FF000000"/>
        <rFont val="仿宋_GB2312"/>
        <charset val="134"/>
      </rPr>
      <t>□禁止吸烟</t>
    </r>
    <r>
      <rPr>
        <sz val="9"/>
        <color rgb="FF000000"/>
        <rFont val="仿宋_GB2312"/>
        <charset val="134"/>
      </rPr>
      <t>；□禁止</t>
    </r>
    <r>
      <rPr>
        <sz val="9"/>
        <color rgb="FF000000"/>
        <rFont val="仿宋_GB2312"/>
        <charset val="134"/>
      </rPr>
      <t>携带</t>
    </r>
    <r>
      <rPr>
        <sz val="9"/>
        <color rgb="FF000000"/>
        <rFont val="仿宋_GB2312"/>
        <charset val="134"/>
      </rPr>
      <t>易燃易爆物品；□系好安全</t>
    </r>
    <r>
      <rPr>
        <sz val="9"/>
        <color rgb="FF000000"/>
        <rFont val="仿宋_GB2312"/>
        <charset val="134"/>
      </rPr>
      <t>带</t>
    </r>
    <r>
      <rPr>
        <sz val="9"/>
        <color rgb="FF000000"/>
        <rFont val="仿宋_GB2312"/>
        <charset val="134"/>
      </rPr>
      <t>；□</t>
    </r>
    <r>
      <rPr>
        <sz val="9"/>
        <color rgb="FF000000"/>
        <rFont val="仿宋_GB2312"/>
        <charset val="134"/>
      </rPr>
      <t>应</t>
    </r>
    <r>
      <rPr>
        <sz val="9"/>
        <color rgb="FF000000"/>
        <rFont val="仿宋_GB2312"/>
        <charset val="134"/>
      </rPr>
      <t>急出口；□乘客</t>
    </r>
    <r>
      <rPr>
        <sz val="9"/>
        <color rgb="FF000000"/>
        <rFont val="仿宋_GB2312"/>
        <charset val="134"/>
      </rPr>
      <t>门应</t>
    </r>
    <r>
      <rPr>
        <sz val="9"/>
        <color rgb="FF000000"/>
        <rFont val="仿宋_GB2312"/>
        <charset val="134"/>
      </rPr>
      <t>急控制</t>
    </r>
  </si>
  <si>
    <t xml:space="preserve">制
动
系
</t>
  </si>
  <si>
    <r>
      <rPr>
        <sz val="9"/>
        <color rgb="FF000000"/>
        <rFont val="仿宋_GB2312"/>
        <charset val="134"/>
      </rPr>
      <t>制动器型式（前</t>
    </r>
    <r>
      <rPr>
        <sz val="9"/>
        <color indexed="8"/>
        <rFont val="Times New Roman"/>
        <family val="1"/>
      </rPr>
      <t>/</t>
    </r>
    <r>
      <rPr>
        <sz val="9"/>
        <color indexed="8"/>
        <rFont val="仿宋_GB2312"/>
        <charset val="134"/>
      </rPr>
      <t>后）</t>
    </r>
    <r>
      <rPr>
        <vertAlign val="superscript"/>
        <sz val="9"/>
        <color indexed="8"/>
        <rFont val="Times New Roman"/>
        <family val="1"/>
      </rPr>
      <t>1)</t>
    </r>
  </si>
  <si>
    <r>
      <rPr>
        <sz val="9"/>
        <color rgb="FF000000"/>
        <rFont val="仿宋_GB2312"/>
        <charset val="134"/>
      </rPr>
      <t>一</t>
    </r>
    <r>
      <rPr>
        <sz val="9"/>
        <color rgb="FF000000"/>
        <rFont val="宋体"/>
        <family val="3"/>
        <charset val="134"/>
      </rPr>
      <t>桥</t>
    </r>
    <r>
      <rPr>
        <sz val="9"/>
        <color indexed="8"/>
        <rFont val="Times New Roman"/>
        <family val="1"/>
      </rPr>
      <t xml:space="preserve">: </t>
    </r>
    <r>
      <rPr>
        <sz val="9"/>
        <color indexed="8"/>
        <rFont val="仿宋_GB2312"/>
        <charset val="134"/>
      </rPr>
      <t>□鼓式□</t>
    </r>
    <r>
      <rPr>
        <sz val="9"/>
        <color indexed="8"/>
        <rFont val="宋体"/>
        <family val="3"/>
        <charset val="134"/>
      </rPr>
      <t>盘</t>
    </r>
    <r>
      <rPr>
        <sz val="9"/>
        <color indexed="8"/>
        <rFont val="仿宋_GB2312"/>
        <charset val="134"/>
      </rPr>
      <t>式；二</t>
    </r>
    <r>
      <rPr>
        <sz val="9"/>
        <color indexed="8"/>
        <rFont val="宋体"/>
        <family val="3"/>
        <charset val="134"/>
      </rPr>
      <t>桥</t>
    </r>
    <r>
      <rPr>
        <sz val="9"/>
        <color indexed="8"/>
        <rFont val="Times New Roman"/>
        <family val="1"/>
      </rPr>
      <t xml:space="preserve">: </t>
    </r>
    <r>
      <rPr>
        <sz val="9"/>
        <color indexed="8"/>
        <rFont val="仿宋_GB2312"/>
        <charset val="134"/>
      </rPr>
      <t>□鼓式□</t>
    </r>
    <r>
      <rPr>
        <sz val="9"/>
        <color indexed="8"/>
        <rFont val="宋体"/>
        <family val="3"/>
        <charset val="134"/>
      </rPr>
      <t>盘</t>
    </r>
    <r>
      <rPr>
        <sz val="9"/>
        <color indexed="8"/>
        <rFont val="仿宋_GB2312"/>
        <charset val="134"/>
      </rPr>
      <t>式；三桥</t>
    </r>
    <r>
      <rPr>
        <sz val="9"/>
        <color indexed="8"/>
        <rFont val="Times New Roman"/>
        <family val="1"/>
      </rPr>
      <t xml:space="preserve">: </t>
    </r>
    <r>
      <rPr>
        <sz val="9"/>
        <color indexed="8"/>
        <rFont val="仿宋_GB2312"/>
        <charset val="134"/>
      </rPr>
      <t>□鼓式□盘式；</t>
    </r>
  </si>
  <si>
    <r>
      <rPr>
        <sz val="9"/>
        <color rgb="FF000000"/>
        <rFont val="仿宋_GB2312"/>
        <charset val="134"/>
      </rPr>
      <t>制动储气筒额定工作气压</t>
    </r>
    <r>
      <rPr>
        <sz val="9"/>
        <color indexed="8"/>
        <rFont val="Times New Roman"/>
        <family val="1"/>
      </rPr>
      <t>(kPa)</t>
    </r>
  </si>
  <si>
    <t>缓速装置型式</t>
  </si>
  <si>
    <t>□液力；□电涡流；□发动机</t>
  </si>
  <si>
    <r>
      <rPr>
        <sz val="9"/>
        <color rgb="FF000000"/>
        <rFont val="仿宋_GB2312"/>
        <charset val="134"/>
      </rPr>
      <t>制动器衬片更换报警装置</t>
    </r>
    <r>
      <rPr>
        <vertAlign val="superscript"/>
        <sz val="9"/>
        <color indexed="8"/>
        <rFont val="Times New Roman"/>
        <family val="1"/>
      </rPr>
      <t>1)</t>
    </r>
  </si>
  <si>
    <t>气压制动系统压缩空气干燥、油水分离装置</t>
  </si>
  <si>
    <r>
      <rPr>
        <sz val="9"/>
        <color rgb="FF000000"/>
        <rFont val="仿宋_GB2312"/>
        <charset val="134"/>
      </rPr>
      <t>防抱制动装置（</t>
    </r>
    <r>
      <rPr>
        <sz val="9"/>
        <color indexed="8"/>
        <rFont val="Times New Roman"/>
        <family val="1"/>
      </rPr>
      <t>ABS</t>
    </r>
    <r>
      <rPr>
        <sz val="9"/>
        <color indexed="8"/>
        <rFont val="仿宋_GB2312"/>
        <charset val="134"/>
      </rPr>
      <t>）信号报警装置</t>
    </r>
  </si>
  <si>
    <t>制动间隙自动调整装置</t>
  </si>
  <si>
    <t>制动气压显示及限压装置</t>
  </si>
  <si>
    <t>行驶系</t>
  </si>
  <si>
    <t>轮胎规格型号</t>
  </si>
  <si>
    <r>
      <rPr>
        <sz val="10"/>
        <color rgb="FF000000"/>
        <rFont val="仿宋_GB2312"/>
        <charset val="134"/>
      </rPr>
      <t>轮胎数量（前</t>
    </r>
    <r>
      <rPr>
        <sz val="10"/>
        <color indexed="8"/>
        <rFont val="Times New Roman"/>
        <family val="1"/>
      </rPr>
      <t>/</t>
    </r>
    <r>
      <rPr>
        <sz val="10"/>
        <color indexed="8"/>
        <rFont val="仿宋_GB2312"/>
        <charset val="134"/>
      </rPr>
      <t>后）</t>
    </r>
  </si>
  <si>
    <t>轮胎爆胎应急安全装置</t>
  </si>
  <si>
    <t>轮胎气压监测系统</t>
  </si>
  <si>
    <t xml:space="preserve">安全
防护
与
其他
</t>
  </si>
  <si>
    <r>
      <rPr>
        <sz val="10"/>
        <color rgb="FF000000"/>
        <rFont val="仿宋_GB2312"/>
        <charset val="134"/>
      </rPr>
      <t>外推式应急窗数量（左</t>
    </r>
    <r>
      <rPr>
        <sz val="10"/>
        <color indexed="8"/>
        <rFont val="Times New Roman"/>
        <family val="1"/>
      </rPr>
      <t>/</t>
    </r>
    <r>
      <rPr>
        <sz val="10"/>
        <color indexed="8"/>
        <rFont val="仿宋_GB2312"/>
        <charset val="134"/>
      </rPr>
      <t>右）</t>
    </r>
  </si>
  <si>
    <r>
      <rPr>
        <sz val="9"/>
        <color rgb="FF000000"/>
        <rFont val="仿宋_GB2312"/>
        <charset val="134"/>
      </rPr>
      <t>右侧：</t>
    </r>
    <r>
      <rPr>
        <sz val="9"/>
        <color indexed="8"/>
        <rFont val="Times New Roman"/>
        <family val="1"/>
      </rPr>
      <t xml:space="preserve">  </t>
    </r>
    <r>
      <rPr>
        <sz val="9"/>
        <color indexed="8"/>
        <rFont val="仿宋_GB2312"/>
        <charset val="134"/>
      </rPr>
      <t>个；左侧：</t>
    </r>
    <r>
      <rPr>
        <sz val="9"/>
        <color indexed="8"/>
        <rFont val="Times New Roman"/>
        <family val="1"/>
      </rPr>
      <t xml:space="preserve">  </t>
    </r>
    <r>
      <rPr>
        <sz val="9"/>
        <color indexed="8"/>
        <rFont val="仿宋_GB2312"/>
        <charset val="134"/>
      </rPr>
      <t>个</t>
    </r>
  </si>
  <si>
    <t>通风换气装置</t>
  </si>
  <si>
    <t>应急锤数量</t>
  </si>
  <si>
    <r>
      <rPr>
        <sz val="9"/>
        <color rgb="FF000000"/>
        <rFont val="仿宋_GB2312"/>
        <charset val="134"/>
      </rPr>
      <t>右</t>
    </r>
    <r>
      <rPr>
        <sz val="9"/>
        <color rgb="FF000000"/>
        <rFont val="宋体"/>
        <family val="3"/>
        <charset val="134"/>
      </rPr>
      <t>侧</t>
    </r>
    <r>
      <rPr>
        <sz val="9"/>
        <color rgb="FF000000"/>
        <rFont val="仿宋_GB2312"/>
        <charset val="134"/>
      </rPr>
      <t>：</t>
    </r>
    <r>
      <rPr>
        <sz val="9"/>
        <color indexed="8"/>
        <rFont val="Times New Roman"/>
        <family val="1"/>
      </rPr>
      <t xml:space="preserve"> </t>
    </r>
    <r>
      <rPr>
        <sz val="9"/>
        <color indexed="8"/>
        <rFont val="宋体"/>
        <family val="3"/>
        <charset val="134"/>
      </rPr>
      <t>个</t>
    </r>
    <r>
      <rPr>
        <sz val="9"/>
        <color indexed="8"/>
        <rFont val="仿宋_GB2312"/>
        <charset val="134"/>
      </rPr>
      <t>；左</t>
    </r>
    <r>
      <rPr>
        <sz val="9"/>
        <color indexed="8"/>
        <rFont val="宋体"/>
        <family val="3"/>
        <charset val="134"/>
      </rPr>
      <t>侧</t>
    </r>
    <r>
      <rPr>
        <sz val="9"/>
        <color indexed="8"/>
        <rFont val="仿宋_GB2312"/>
        <charset val="134"/>
      </rPr>
      <t>：</t>
    </r>
    <r>
      <rPr>
        <sz val="9"/>
        <color indexed="8"/>
        <rFont val="Times New Roman"/>
        <family val="1"/>
      </rPr>
      <t xml:space="preserve"> </t>
    </r>
    <r>
      <rPr>
        <sz val="9"/>
        <color indexed="8"/>
        <rFont val="宋体"/>
        <family val="3"/>
        <charset val="134"/>
      </rPr>
      <t>个</t>
    </r>
    <r>
      <rPr>
        <sz val="9"/>
        <color indexed="8"/>
        <rFont val="Times New Roman"/>
        <family val="1"/>
      </rPr>
      <t>;</t>
    </r>
    <r>
      <rPr>
        <sz val="9"/>
        <color indexed="8"/>
        <rFont val="仿宋_GB2312"/>
        <charset val="134"/>
      </rPr>
      <t>后部：</t>
    </r>
    <r>
      <rPr>
        <sz val="9"/>
        <color indexed="8"/>
        <rFont val="Times New Roman"/>
        <family val="1"/>
      </rPr>
      <t xml:space="preserve"> </t>
    </r>
    <r>
      <rPr>
        <sz val="9"/>
        <color indexed="8"/>
        <rFont val="宋体"/>
        <family val="3"/>
        <charset val="134"/>
      </rPr>
      <t>个</t>
    </r>
  </si>
  <si>
    <t>自动破玻器数量及开关位置</t>
  </si>
  <si>
    <t>个；□驾驶区</t>
  </si>
  <si>
    <t>应急锤声响信号报警装置</t>
  </si>
  <si>
    <t>燃油箱数量</t>
  </si>
  <si>
    <t>停车楔数量</t>
  </si>
  <si>
    <r>
      <rPr>
        <sz val="9"/>
        <color rgb="FF000000"/>
        <rFont val="Times New Roman"/>
        <family val="1"/>
      </rPr>
      <t xml:space="preserve">     </t>
    </r>
    <r>
      <rPr>
        <sz val="9"/>
        <color indexed="8"/>
        <rFont val="仿宋_GB2312"/>
        <charset val="134"/>
      </rPr>
      <t>个</t>
    </r>
  </si>
  <si>
    <t>油箱侧面防护</t>
  </si>
  <si>
    <r>
      <rPr>
        <sz val="10"/>
        <color rgb="FF000000"/>
        <rFont val="仿宋_GB2312"/>
        <charset val="134"/>
      </rPr>
      <t>油箱距前端距离（≥</t>
    </r>
    <r>
      <rPr>
        <sz val="10"/>
        <color indexed="8"/>
        <rFont val="Times New Roman"/>
        <family val="1"/>
      </rPr>
      <t>600mm</t>
    </r>
    <r>
      <rPr>
        <sz val="10"/>
        <color indexed="8"/>
        <rFont val="仿宋_GB2312"/>
        <charset val="134"/>
      </rPr>
      <t>）</t>
    </r>
  </si>
  <si>
    <t>□符合；□不符合</t>
  </si>
  <si>
    <r>
      <rPr>
        <sz val="10"/>
        <color rgb="FF000000"/>
        <rFont val="仿宋_GB2312"/>
        <charset val="134"/>
      </rPr>
      <t>油箱距后端距离（≥</t>
    </r>
    <r>
      <rPr>
        <sz val="10"/>
        <color indexed="8"/>
        <rFont val="Times New Roman"/>
        <family val="1"/>
      </rPr>
      <t>300mm</t>
    </r>
    <r>
      <rPr>
        <sz val="10"/>
        <color indexed="8"/>
        <rFont val="仿宋_GB2312"/>
        <charset val="134"/>
      </rPr>
      <t>）</t>
    </r>
  </si>
  <si>
    <t>□符合;□不符合</t>
  </si>
  <si>
    <t>安全顶窗数量及位置</t>
  </si>
  <si>
    <r>
      <rPr>
        <sz val="9"/>
        <color rgb="FF000000"/>
        <rFont val="仿宋_GB2312"/>
        <charset val="134"/>
      </rPr>
      <t>加气口仪</t>
    </r>
    <r>
      <rPr>
        <sz val="9"/>
        <color rgb="FF000000"/>
        <rFont val="仿宋_GB2312"/>
        <charset val="134"/>
      </rPr>
      <t>表和</t>
    </r>
    <r>
      <rPr>
        <sz val="9"/>
        <color rgb="FF000000"/>
        <rFont val="仿宋_GB2312"/>
        <charset val="134"/>
      </rPr>
      <t>阀</t>
    </r>
    <r>
      <rPr>
        <sz val="9"/>
        <color rgb="FF000000"/>
        <rFont val="仿宋_GB2312"/>
        <charset val="134"/>
      </rPr>
      <t>件防</t>
    </r>
    <r>
      <rPr>
        <sz val="9"/>
        <color rgb="FF000000"/>
        <rFont val="仿宋_GB2312"/>
        <charset val="134"/>
      </rPr>
      <t>护装</t>
    </r>
    <r>
      <rPr>
        <sz val="9"/>
        <color rgb="FF000000"/>
        <rFont val="仿宋_GB2312"/>
        <charset val="134"/>
      </rPr>
      <t>置（燃气汽</t>
    </r>
    <r>
      <rPr>
        <sz val="9"/>
        <color rgb="FF000000"/>
        <rFont val="仿宋_GB2312"/>
        <charset val="134"/>
      </rPr>
      <t>车</t>
    </r>
    <r>
      <rPr>
        <sz val="9"/>
        <color rgb="FF000000"/>
        <rFont val="仿宋_GB2312"/>
        <charset val="134"/>
      </rPr>
      <t>）</t>
    </r>
  </si>
  <si>
    <t>电涡流缓速器隔热装置</t>
  </si>
  <si>
    <t>电涡流缓速器报警系统</t>
  </si>
  <si>
    <t>传动轴防护装置</t>
  </si>
  <si>
    <t>安全带提醒装置</t>
  </si>
  <si>
    <t>汽车安全带</t>
  </si>
  <si>
    <r>
      <rPr>
        <sz val="9"/>
        <color rgb="FF000000"/>
        <rFont val="仿宋_GB2312"/>
        <charset val="134"/>
      </rPr>
      <t>□驾驶员</t>
    </r>
    <r>
      <rPr>
        <sz val="9"/>
        <color rgb="FF000000"/>
        <rFont val="仿宋_GB2312"/>
        <charset val="134"/>
      </rPr>
      <t>座椅；□前排座椅；□</t>
    </r>
    <r>
      <rPr>
        <sz val="9"/>
        <color rgb="FF000000"/>
        <rFont val="仿宋_GB2312"/>
        <charset val="134"/>
      </rPr>
      <t>驾驶员</t>
    </r>
    <r>
      <rPr>
        <sz val="9"/>
        <color rgb="FF000000"/>
        <rFont val="仿宋_GB2312"/>
        <charset val="134"/>
      </rPr>
      <t>后第一排座椅；□乘客</t>
    </r>
    <r>
      <rPr>
        <sz val="9"/>
        <color rgb="FF000000"/>
        <rFont val="仿宋_GB2312"/>
        <charset val="134"/>
      </rPr>
      <t>门</t>
    </r>
    <r>
      <rPr>
        <sz val="9"/>
        <color rgb="FF000000"/>
        <rFont val="仿宋_GB2312"/>
        <charset val="134"/>
      </rPr>
      <t>后第一排座椅；□最后一排中</t>
    </r>
    <r>
      <rPr>
        <sz val="9"/>
        <color rgb="FF000000"/>
        <rFont val="仿宋_GB2312"/>
        <charset val="134"/>
      </rPr>
      <t>间</t>
    </r>
    <r>
      <rPr>
        <sz val="9"/>
        <color rgb="FF000000"/>
        <rFont val="仿宋_GB2312"/>
        <charset val="134"/>
      </rPr>
      <t>座椅；□</t>
    </r>
    <r>
      <rPr>
        <sz val="9"/>
        <color rgb="FF000000"/>
        <rFont val="仿宋_GB2312"/>
        <charset val="134"/>
      </rPr>
      <t>应</t>
    </r>
    <r>
      <rPr>
        <sz val="9"/>
        <color rgb="FF000000"/>
        <rFont val="仿宋_GB2312"/>
        <charset val="134"/>
      </rPr>
      <t>急</t>
    </r>
    <r>
      <rPr>
        <sz val="9"/>
        <color rgb="FF000000"/>
        <rFont val="仿宋_GB2312"/>
        <charset val="134"/>
      </rPr>
      <t>门</t>
    </r>
    <r>
      <rPr>
        <sz val="9"/>
        <color rgb="FF000000"/>
        <rFont val="仿宋_GB2312"/>
        <charset val="134"/>
      </rPr>
      <t>引道后座椅</t>
    </r>
    <r>
      <rPr>
        <sz val="9"/>
        <color rgb="FF000000"/>
        <rFont val="仿宋_GB2312"/>
        <charset val="134"/>
      </rPr>
      <t>为</t>
    </r>
    <r>
      <rPr>
        <sz val="9"/>
        <color rgb="FF000000"/>
        <rFont val="仿宋_GB2312"/>
        <charset val="134"/>
      </rPr>
      <t>三</t>
    </r>
    <r>
      <rPr>
        <sz val="9"/>
        <color rgb="FF000000"/>
        <rFont val="仿宋_GB2312"/>
        <charset val="134"/>
      </rPr>
      <t>点</t>
    </r>
    <r>
      <rPr>
        <sz val="9"/>
        <color rgb="FF000000"/>
        <rFont val="仿宋_GB2312"/>
        <charset val="134"/>
      </rPr>
      <t>式安，其余座椅</t>
    </r>
    <r>
      <rPr>
        <sz val="9"/>
        <color rgb="FF000000"/>
        <rFont val="仿宋_GB2312"/>
        <charset val="134"/>
      </rPr>
      <t>为</t>
    </r>
    <r>
      <rPr>
        <sz val="9"/>
        <color rgb="FF000000"/>
        <rFont val="仿宋_GB2312"/>
        <charset val="134"/>
      </rPr>
      <t xml:space="preserve">□ </t>
    </r>
    <r>
      <rPr>
        <sz val="9"/>
        <color rgb="FF000000"/>
        <rFont val="仿宋_GB2312"/>
        <charset val="134"/>
      </rPr>
      <t>两点</t>
    </r>
    <r>
      <rPr>
        <sz val="9"/>
        <color rgb="FF000000"/>
        <rFont val="仿宋_GB2312"/>
        <charset val="134"/>
      </rPr>
      <t>式安全</t>
    </r>
    <r>
      <rPr>
        <sz val="9"/>
        <color rgb="FF000000"/>
        <rFont val="仿宋_GB2312"/>
        <charset val="134"/>
      </rPr>
      <t>带</t>
    </r>
    <r>
      <rPr>
        <sz val="9"/>
        <color rgb="FF000000"/>
        <rFont val="仿宋_GB2312"/>
        <charset val="134"/>
      </rPr>
      <t>、□ 三</t>
    </r>
    <r>
      <rPr>
        <sz val="9"/>
        <color rgb="FF000000"/>
        <rFont val="仿宋_GB2312"/>
        <charset val="134"/>
      </rPr>
      <t>点</t>
    </r>
    <r>
      <rPr>
        <sz val="9"/>
        <color rgb="FF000000"/>
        <rFont val="仿宋_GB2312"/>
        <charset val="134"/>
      </rPr>
      <t>式安全</t>
    </r>
    <r>
      <rPr>
        <sz val="9"/>
        <color rgb="FF000000"/>
        <rFont val="仿宋_GB2312"/>
        <charset val="134"/>
      </rPr>
      <t>带</t>
    </r>
  </si>
  <si>
    <t>乘客门应急控制器</t>
  </si>
  <si>
    <r>
      <rPr>
        <sz val="9"/>
        <color rgb="FF000000"/>
        <rFont val="仿宋_GB2312"/>
        <charset val="134"/>
      </rPr>
      <t>□</t>
    </r>
    <r>
      <rPr>
        <sz val="9"/>
        <color rgb="FF000000"/>
        <rFont val="宋体"/>
        <family val="3"/>
        <charset val="134"/>
      </rPr>
      <t>驾驶员</t>
    </r>
    <r>
      <rPr>
        <sz val="9"/>
        <color rgb="FF000000"/>
        <rFont val="仿宋_GB2312"/>
        <charset val="134"/>
      </rPr>
      <t>附近；□前乘客</t>
    </r>
    <r>
      <rPr>
        <sz val="9"/>
        <color rgb="FF000000"/>
        <rFont val="宋体"/>
        <family val="3"/>
        <charset val="134"/>
      </rPr>
      <t>门内</t>
    </r>
    <r>
      <rPr>
        <sz val="9"/>
        <color rgb="FF000000"/>
        <rFont val="仿宋_GB2312"/>
        <charset val="134"/>
      </rPr>
      <t>；□前乘客</t>
    </r>
    <r>
      <rPr>
        <sz val="9"/>
        <color rgb="FF000000"/>
        <rFont val="宋体"/>
        <family val="3"/>
        <charset val="134"/>
      </rPr>
      <t>门</t>
    </r>
    <r>
      <rPr>
        <sz val="9"/>
        <color rgb="FF000000"/>
        <rFont val="仿宋_GB2312"/>
        <charset val="134"/>
      </rPr>
      <t>外；□中乘客</t>
    </r>
    <r>
      <rPr>
        <sz val="9"/>
        <color rgb="FF000000"/>
        <rFont val="宋体"/>
        <family val="3"/>
        <charset val="134"/>
      </rPr>
      <t>门</t>
    </r>
    <r>
      <rPr>
        <sz val="9"/>
        <color rgb="FF000000"/>
        <rFont val="仿宋_GB2312"/>
        <charset val="134"/>
      </rPr>
      <t>外；□中乘客</t>
    </r>
    <r>
      <rPr>
        <sz val="9"/>
        <color rgb="FF000000"/>
        <rFont val="宋体"/>
        <family val="3"/>
        <charset val="134"/>
      </rPr>
      <t>门内</t>
    </r>
    <r>
      <rPr>
        <sz val="9"/>
        <color rgb="FF000000"/>
        <rFont val="仿宋_GB2312"/>
        <charset val="134"/>
      </rPr>
      <t>；□后乘客</t>
    </r>
    <r>
      <rPr>
        <sz val="9"/>
        <color rgb="FF000000"/>
        <rFont val="宋体"/>
        <family val="3"/>
        <charset val="134"/>
      </rPr>
      <t>门内</t>
    </r>
    <r>
      <rPr>
        <sz val="9"/>
        <color rgb="FF000000"/>
        <rFont val="仿宋_GB2312"/>
        <charset val="134"/>
      </rPr>
      <t>；□后乘客门外</t>
    </r>
  </si>
  <si>
    <t>道路运输达标车辆核查记录表（客车）（续）</t>
  </si>
  <si>
    <t>等级评定信息</t>
  </si>
  <si>
    <t>客车类型</t>
  </si>
  <si>
    <t>□特大型；□大型；□中型；□小型</t>
  </si>
  <si>
    <t>等级</t>
  </si>
  <si>
    <r>
      <rPr>
        <sz val="9"/>
        <color rgb="FF000000"/>
        <rFont val="仿宋_GB2312"/>
        <charset val="134"/>
      </rPr>
      <t>□高三级；</t>
    </r>
    <r>
      <rPr>
        <sz val="9"/>
        <color indexed="8"/>
        <rFont val="Times New Roman"/>
        <family val="1"/>
      </rPr>
      <t xml:space="preserve"> </t>
    </r>
    <r>
      <rPr>
        <sz val="9"/>
        <color indexed="8"/>
        <rFont val="仿宋_GB2312"/>
        <charset val="134"/>
      </rPr>
      <t>□高二级；□高一级；</t>
    </r>
    <r>
      <rPr>
        <sz val="9"/>
        <color indexed="8"/>
        <rFont val="Times New Roman"/>
        <family val="1"/>
      </rPr>
      <t xml:space="preserve"> </t>
    </r>
    <r>
      <rPr>
        <sz val="9"/>
        <color indexed="8"/>
        <rFont val="仿宋_GB2312"/>
        <charset val="134"/>
      </rPr>
      <t>□中级；□普通级</t>
    </r>
  </si>
  <si>
    <r>
      <rPr>
        <sz val="9"/>
        <color rgb="FF000000"/>
        <rFont val="仿宋_GB2312"/>
        <charset val="134"/>
      </rPr>
      <t>客舱内通道宽（</t>
    </r>
    <r>
      <rPr>
        <sz val="9"/>
        <color indexed="8"/>
        <rFont val="Times New Roman"/>
        <family val="1"/>
      </rPr>
      <t>mm</t>
    </r>
    <r>
      <rPr>
        <sz val="9"/>
        <color indexed="8"/>
        <rFont val="仿宋_GB2312"/>
        <charset val="134"/>
      </rPr>
      <t>）</t>
    </r>
  </si>
  <si>
    <r>
      <rPr>
        <sz val="9"/>
        <color rgb="FF000000"/>
        <rFont val="仿宋_GB2312"/>
        <charset val="134"/>
      </rPr>
      <t>座间距（同向）（</t>
    </r>
    <r>
      <rPr>
        <sz val="9"/>
        <color indexed="8"/>
        <rFont val="Times New Roman"/>
        <family val="1"/>
      </rPr>
      <t>mm</t>
    </r>
    <r>
      <rPr>
        <sz val="9"/>
        <color indexed="8"/>
        <rFont val="仿宋_GB2312"/>
        <charset val="134"/>
      </rPr>
      <t>）</t>
    </r>
  </si>
  <si>
    <r>
      <rPr>
        <sz val="9"/>
        <color rgb="FF000000"/>
        <rFont val="仿宋_GB2312"/>
        <charset val="134"/>
      </rPr>
      <t>座椅横移（向通道）（</t>
    </r>
    <r>
      <rPr>
        <sz val="9"/>
        <color indexed="8"/>
        <rFont val="Times New Roman"/>
        <family val="1"/>
      </rPr>
      <t>mm</t>
    </r>
    <r>
      <rPr>
        <sz val="9"/>
        <color indexed="8"/>
        <rFont val="仿宋_GB2312"/>
        <charset val="134"/>
      </rPr>
      <t>）</t>
    </r>
  </si>
  <si>
    <r>
      <rPr>
        <sz val="9"/>
        <color rgb="FF000000"/>
        <rFont val="仿宋_GB2312"/>
        <charset val="134"/>
      </rPr>
      <t>座椅深（</t>
    </r>
    <r>
      <rPr>
        <sz val="9"/>
        <color indexed="8"/>
        <rFont val="Times New Roman"/>
        <family val="1"/>
      </rPr>
      <t>mm</t>
    </r>
    <r>
      <rPr>
        <sz val="9"/>
        <color indexed="8"/>
        <rFont val="仿宋_GB2312"/>
        <charset val="134"/>
      </rPr>
      <t>）</t>
    </r>
  </si>
  <si>
    <r>
      <rPr>
        <sz val="9"/>
        <color rgb="FF000000"/>
        <rFont val="仿宋_GB2312"/>
        <charset val="134"/>
      </rPr>
      <t>座垫宽（</t>
    </r>
    <r>
      <rPr>
        <sz val="9"/>
        <color indexed="8"/>
        <rFont val="Times New Roman"/>
        <family val="1"/>
      </rPr>
      <t>mm</t>
    </r>
    <r>
      <rPr>
        <sz val="9"/>
        <color indexed="8"/>
        <rFont val="仿宋_GB2312"/>
        <charset val="134"/>
      </rPr>
      <t>）</t>
    </r>
  </si>
  <si>
    <t>座椅脚蹬</t>
  </si>
  <si>
    <r>
      <rPr>
        <sz val="9"/>
        <color rgb="FF000000"/>
        <rFont val="仿宋_GB2312"/>
        <charset val="134"/>
      </rPr>
      <t>靠背高（</t>
    </r>
    <r>
      <rPr>
        <sz val="9"/>
        <color indexed="8"/>
        <rFont val="Times New Roman"/>
        <family val="1"/>
      </rPr>
      <t>mm</t>
    </r>
    <r>
      <rPr>
        <sz val="9"/>
        <color indexed="8"/>
        <rFont val="仿宋_GB2312"/>
        <charset val="134"/>
      </rPr>
      <t>）</t>
    </r>
  </si>
  <si>
    <r>
      <rPr>
        <sz val="9"/>
        <color rgb="FF000000"/>
        <rFont val="仿宋_GB2312"/>
        <charset val="134"/>
      </rPr>
      <t>靠背角度可调</t>
    </r>
    <r>
      <rPr>
        <sz val="9"/>
        <color indexed="8"/>
        <rFont val="Times New Roman"/>
        <family val="1"/>
      </rPr>
      <t>(15</t>
    </r>
    <r>
      <rPr>
        <sz val="9"/>
        <color indexed="8"/>
        <rFont val="仿宋_GB2312"/>
        <charset val="134"/>
      </rPr>
      <t>°～</t>
    </r>
    <r>
      <rPr>
        <sz val="9"/>
        <color indexed="8"/>
        <rFont val="Times New Roman"/>
        <family val="1"/>
      </rPr>
      <t>30</t>
    </r>
    <r>
      <rPr>
        <sz val="9"/>
        <color indexed="8"/>
        <rFont val="仿宋_GB2312"/>
        <charset val="134"/>
      </rPr>
      <t>°</t>
    </r>
    <r>
      <rPr>
        <sz val="9"/>
        <color indexed="8"/>
        <rFont val="Times New Roman"/>
        <family val="1"/>
      </rPr>
      <t>)</t>
    </r>
  </si>
  <si>
    <r>
      <rPr>
        <sz val="9"/>
        <color rgb="FF000000"/>
        <rFont val="Times New Roman"/>
        <family val="1"/>
      </rPr>
      <t>CAN</t>
    </r>
    <r>
      <rPr>
        <sz val="9"/>
        <color indexed="8"/>
        <rFont val="仿宋_GB2312"/>
        <charset val="134"/>
      </rPr>
      <t>总线</t>
    </r>
  </si>
  <si>
    <t>电磁风扇离合器或其他节能风扇散热系统</t>
  </si>
  <si>
    <t>卫生间</t>
  </si>
  <si>
    <t>发动机舱自动灭火装置</t>
  </si>
  <si>
    <t>扶手（靠通道处）</t>
  </si>
  <si>
    <t>影音播放及麦克风设备</t>
  </si>
  <si>
    <r>
      <rPr>
        <sz val="9"/>
        <color rgb="FF000000"/>
        <rFont val="Times New Roman"/>
        <family val="1"/>
      </rPr>
      <t>人均行李舱容积</t>
    </r>
    <r>
      <rPr>
        <sz val="9"/>
        <color indexed="8"/>
        <rFont val="Times New Roman"/>
        <family val="1"/>
      </rPr>
      <t xml:space="preserve"> m</t>
    </r>
    <r>
      <rPr>
        <vertAlign val="superscript"/>
        <sz val="9"/>
        <color indexed="8"/>
        <rFont val="Times New Roman"/>
        <family val="1"/>
      </rPr>
      <t>3</t>
    </r>
    <r>
      <rPr>
        <sz val="9"/>
        <color indexed="8"/>
        <rFont val="Times New Roman"/>
        <family val="1"/>
      </rPr>
      <t>/</t>
    </r>
    <r>
      <rPr>
        <sz val="9"/>
        <color indexed="8"/>
        <rFont val="仿宋_GB2312"/>
        <charset val="134"/>
      </rPr>
      <t>人</t>
    </r>
  </si>
  <si>
    <t>空气净化装置</t>
  </si>
  <si>
    <t>悬架类型</t>
  </si>
  <si>
    <r>
      <rPr>
        <sz val="9"/>
        <color rgb="FF000000"/>
        <rFont val="仿宋_GB2312"/>
        <charset val="134"/>
      </rPr>
      <t>□</t>
    </r>
    <r>
      <rPr>
        <sz val="9"/>
        <color indexed="8"/>
        <rFont val="Times New Roman"/>
        <family val="1"/>
      </rPr>
      <t xml:space="preserve">A; </t>
    </r>
    <r>
      <rPr>
        <sz val="9"/>
        <color indexed="8"/>
        <rFont val="仿宋_GB2312"/>
        <charset val="134"/>
      </rPr>
      <t>□</t>
    </r>
    <r>
      <rPr>
        <sz val="9"/>
        <color indexed="8"/>
        <rFont val="Times New Roman"/>
        <family val="1"/>
      </rPr>
      <t xml:space="preserve">B; </t>
    </r>
    <r>
      <rPr>
        <sz val="9"/>
        <color indexed="8"/>
        <rFont val="仿宋_GB2312"/>
        <charset val="134"/>
      </rPr>
      <t>□</t>
    </r>
    <r>
      <rPr>
        <sz val="9"/>
        <color indexed="8"/>
        <rFont val="Times New Roman"/>
        <family val="1"/>
      </rPr>
      <t>C</t>
    </r>
  </si>
  <si>
    <t>底盘集中润滑系统</t>
  </si>
  <si>
    <t>随动转向机构</t>
  </si>
  <si>
    <t>动力电池箱内具有报警功能的自动灭火装置</t>
  </si>
  <si>
    <t>空气调节装置</t>
  </si>
  <si>
    <r>
      <rPr>
        <sz val="9"/>
        <color rgb="FF000000"/>
        <rFont val="仿宋_GB2312"/>
        <charset val="134"/>
      </rPr>
      <t xml:space="preserve">  </t>
    </r>
    <r>
      <rPr>
        <sz val="9"/>
        <color indexed="8"/>
        <rFont val="仿宋_GB2312"/>
        <charset val="134"/>
      </rPr>
      <t>冷：□有；□无；</t>
    </r>
  </si>
  <si>
    <t>乘客门结构</t>
  </si>
  <si>
    <t>□单扇；□双扇</t>
  </si>
  <si>
    <r>
      <rPr>
        <sz val="9"/>
        <color rgb="FF000000"/>
        <rFont val="仿宋_GB2312"/>
        <charset val="134"/>
      </rPr>
      <t>暖</t>
    </r>
    <r>
      <rPr>
        <sz val="9"/>
        <color indexed="8"/>
        <rFont val="Times New Roman"/>
        <family val="1"/>
      </rPr>
      <t xml:space="preserve">: </t>
    </r>
    <r>
      <rPr>
        <sz val="9"/>
        <color indexed="8"/>
        <rFont val="仿宋_GB2312"/>
        <charset val="134"/>
      </rPr>
      <t>□有；</t>
    </r>
    <r>
      <rPr>
        <sz val="9"/>
        <color indexed="8"/>
        <rFont val="Times New Roman"/>
        <family val="1"/>
      </rPr>
      <t xml:space="preserve"> </t>
    </r>
    <r>
      <rPr>
        <sz val="9"/>
        <color indexed="8"/>
        <rFont val="仿宋_GB2312"/>
        <charset val="134"/>
      </rPr>
      <t>□无</t>
    </r>
  </si>
  <si>
    <t>车内行李架</t>
  </si>
  <si>
    <t>车外行李架</t>
  </si>
  <si>
    <r>
      <rPr>
        <sz val="9"/>
        <color rgb="FF000000"/>
        <rFont val="Times New Roman"/>
        <family val="1"/>
      </rPr>
      <t>轴距（</t>
    </r>
    <r>
      <rPr>
        <sz val="9"/>
        <color indexed="8"/>
        <rFont val="Times New Roman"/>
        <family val="1"/>
      </rPr>
      <t>mm</t>
    </r>
    <r>
      <rPr>
        <sz val="9"/>
        <color indexed="8"/>
        <rFont val="仿宋_GB2312"/>
        <charset val="134"/>
      </rPr>
      <t>）</t>
    </r>
  </si>
  <si>
    <t>日间行车灯</t>
  </si>
  <si>
    <t>盲区监测系统</t>
  </si>
  <si>
    <t>主驾安全气囊</t>
  </si>
  <si>
    <t>副驾安全气囊</t>
  </si>
  <si>
    <r>
      <rPr>
        <sz val="9"/>
        <color rgb="FF000000"/>
        <rFont val="仿宋_GB2312"/>
        <charset val="134"/>
      </rPr>
      <t>通用串行总线</t>
    </r>
    <r>
      <rPr>
        <sz val="9"/>
        <color indexed="8"/>
        <rFont val="Times New Roman"/>
        <family val="1"/>
      </rPr>
      <t>USB</t>
    </r>
  </si>
  <si>
    <t>温度自动控制装置</t>
  </si>
  <si>
    <t>特种车型判定</t>
  </si>
  <si>
    <t>□是；□否</t>
  </si>
  <si>
    <t>核查结论</t>
  </si>
  <si>
    <t>□符合；
□不符合</t>
  </si>
  <si>
    <t>问题汇总</t>
  </si>
  <si>
    <t>其它</t>
  </si>
  <si>
    <r>
      <rPr>
        <sz val="10"/>
        <color rgb="FF000000"/>
        <rFont val="仿宋_GB2312"/>
        <charset val="134"/>
      </rPr>
      <t>本表是交通</t>
    </r>
    <r>
      <rPr>
        <sz val="10"/>
        <color rgb="FF000000"/>
        <rFont val="宋体"/>
        <family val="3"/>
        <charset val="134"/>
      </rPr>
      <t>运输</t>
    </r>
    <r>
      <rPr>
        <sz val="10"/>
        <color rgb="FF000000"/>
        <rFont val="仿宋_GB2312"/>
        <charset val="134"/>
      </rPr>
      <t>管理部</t>
    </r>
    <r>
      <rPr>
        <sz val="10"/>
        <color rgb="FF000000"/>
        <rFont val="宋体"/>
        <family val="3"/>
        <charset val="134"/>
      </rPr>
      <t>门开</t>
    </r>
    <r>
      <rPr>
        <sz val="10"/>
        <color rgb="FF000000"/>
        <rFont val="仿宋_GB2312"/>
        <charset val="134"/>
      </rPr>
      <t>展道路</t>
    </r>
    <r>
      <rPr>
        <sz val="10"/>
        <color rgb="FF000000"/>
        <rFont val="宋体"/>
        <family val="3"/>
        <charset val="134"/>
      </rPr>
      <t>运输达标车辆</t>
    </r>
    <r>
      <rPr>
        <sz val="10"/>
        <color rgb="FF000000"/>
        <rFont val="仿宋_GB2312"/>
        <charset val="134"/>
      </rPr>
      <t>核查</t>
    </r>
    <r>
      <rPr>
        <sz val="10"/>
        <color rgb="FF000000"/>
        <rFont val="宋体"/>
        <family val="3"/>
        <charset val="134"/>
      </rPr>
      <t>记录</t>
    </r>
    <r>
      <rPr>
        <sz val="10"/>
        <color rgb="FF000000"/>
        <rFont val="仿宋_GB2312"/>
        <charset val="134"/>
      </rPr>
      <t>表，用于核查</t>
    </r>
    <r>
      <rPr>
        <sz val="10"/>
        <color rgb="FF000000"/>
        <rFont val="宋体"/>
        <family val="3"/>
        <charset val="134"/>
      </rPr>
      <t>实车</t>
    </r>
    <r>
      <rPr>
        <sz val="10"/>
        <color rgb="FF000000"/>
        <rFont val="仿宋_GB2312"/>
        <charset val="134"/>
      </rPr>
      <t>的一致性，在</t>
    </r>
    <r>
      <rPr>
        <sz val="10"/>
        <color rgb="FF000000"/>
        <rFont val="宋体"/>
        <family val="3"/>
        <charset val="134"/>
      </rPr>
      <t>选</t>
    </r>
    <r>
      <rPr>
        <sz val="10"/>
        <color rgb="FF000000"/>
        <rFont val="仿宋_GB2312"/>
        <charset val="134"/>
      </rPr>
      <t>中</t>
    </r>
    <r>
      <rPr>
        <sz val="10"/>
        <color rgb="FF000000"/>
        <rFont val="宋体"/>
        <family val="3"/>
        <charset val="134"/>
      </rPr>
      <t>栏</t>
    </r>
    <r>
      <rPr>
        <sz val="10"/>
        <color rgb="FF000000"/>
        <rFont val="仿宋_GB2312"/>
        <charset val="134"/>
      </rPr>
      <t>的“□”中打“√”，不适用</t>
    </r>
    <r>
      <rPr>
        <sz val="10"/>
        <color rgb="FF000000"/>
        <rFont val="宋体"/>
        <family val="3"/>
        <charset val="134"/>
      </rPr>
      <t>项</t>
    </r>
    <r>
      <rPr>
        <sz val="10"/>
        <color rgb="FF000000"/>
        <rFont val="仿宋_GB2312"/>
        <charset val="134"/>
      </rPr>
      <t>目可“</t>
    </r>
    <r>
      <rPr>
        <sz val="10"/>
        <color indexed="8"/>
        <rFont val="Times New Roman"/>
        <family val="1"/>
      </rPr>
      <t>—</t>
    </r>
    <r>
      <rPr>
        <sz val="10"/>
        <color indexed="8"/>
        <rFont val="仿宋_GB2312"/>
        <charset val="134"/>
      </rPr>
      <t>”掉，其他空格</t>
    </r>
    <r>
      <rPr>
        <sz val="10"/>
        <color indexed="8"/>
        <rFont val="宋体"/>
        <family val="3"/>
        <charset val="134"/>
      </rPr>
      <t>栏应</t>
    </r>
    <r>
      <rPr>
        <sz val="10"/>
        <color indexed="8"/>
        <rFont val="仿宋_GB2312"/>
        <charset val="134"/>
      </rPr>
      <t>填</t>
    </r>
    <r>
      <rPr>
        <sz val="10"/>
        <color indexed="8"/>
        <rFont val="宋体"/>
        <family val="3"/>
        <charset val="134"/>
      </rPr>
      <t>写</t>
    </r>
    <r>
      <rPr>
        <sz val="10"/>
        <color indexed="8"/>
        <rFont val="仿宋_GB2312"/>
        <charset val="134"/>
      </rPr>
      <t>具体</t>
    </r>
    <r>
      <rPr>
        <sz val="10"/>
        <color indexed="8"/>
        <rFont val="宋体"/>
        <family val="3"/>
        <charset val="134"/>
      </rPr>
      <t>数</t>
    </r>
    <r>
      <rPr>
        <sz val="10"/>
        <color indexed="8"/>
        <rFont val="仿宋_GB2312"/>
        <charset val="134"/>
      </rPr>
      <t>据。
注：1）：自2019年4月1日起</t>
    </r>
    <r>
      <rPr>
        <sz val="10"/>
        <color indexed="8"/>
        <rFont val="宋体"/>
        <family val="3"/>
        <charset val="134"/>
      </rPr>
      <t>执</t>
    </r>
    <r>
      <rPr>
        <sz val="10"/>
        <color indexed="8"/>
        <rFont val="仿宋_GB2312"/>
        <charset val="134"/>
      </rPr>
      <t>行，具体要求</t>
    </r>
    <r>
      <rPr>
        <sz val="10"/>
        <color indexed="8"/>
        <rFont val="宋体"/>
        <family val="3"/>
        <charset val="134"/>
      </rPr>
      <t>详见备</t>
    </r>
    <r>
      <rPr>
        <sz val="10"/>
        <color indexed="8"/>
        <rFont val="仿宋_GB2312"/>
        <charset val="134"/>
      </rPr>
      <t>注中25、27、32和35。</t>
    </r>
  </si>
  <si>
    <r>
      <rPr>
        <sz val="9"/>
        <color rgb="FF000000"/>
        <rFont val="仿宋_GB2312"/>
        <charset val="134"/>
      </rPr>
      <t>核查人员：</t>
    </r>
    <r>
      <rPr>
        <sz val="9"/>
        <color indexed="8"/>
        <rFont val="Times New Roman"/>
        <family val="1"/>
      </rPr>
      <t xml:space="preserve">                              </t>
    </r>
    <r>
      <rPr>
        <sz val="9"/>
        <color indexed="8"/>
        <rFont val="仿宋_GB2312"/>
        <charset val="134"/>
      </rPr>
      <t>日期：</t>
    </r>
    <r>
      <rPr>
        <sz val="9"/>
        <color indexed="8"/>
        <rFont val="Times New Roman"/>
        <family val="1"/>
      </rPr>
      <t xml:space="preserve">                              </t>
    </r>
    <r>
      <rPr>
        <sz val="9"/>
        <color indexed="8"/>
        <rFont val="仿宋_GB2312"/>
        <charset val="134"/>
      </rPr>
      <t>单位（盖章）：</t>
    </r>
  </si>
  <si>
    <t>道路运输达标车辆核查记录表（货车）</t>
  </si>
  <si>
    <t>产品名称</t>
  </si>
  <si>
    <t>驱动型式</t>
  </si>
  <si>
    <r>
      <rPr>
        <sz val="9"/>
        <color rgb="FF000000"/>
        <rFont val="仿宋_GB2312"/>
        <charset val="134"/>
      </rPr>
      <t>准拖挂车总质量</t>
    </r>
    <r>
      <rPr>
        <sz val="9"/>
        <color indexed="8"/>
        <rFont val="Times New Roman"/>
        <family val="1"/>
      </rPr>
      <t>(kg)</t>
    </r>
  </si>
  <si>
    <r>
      <rPr>
        <sz val="9"/>
        <color rgb="FF000000"/>
        <rFont val="仿宋_GB2312"/>
        <charset val="134"/>
      </rPr>
      <t>总质量</t>
    </r>
    <r>
      <rPr>
        <sz val="9"/>
        <color indexed="8"/>
        <rFont val="Times New Roman"/>
        <family val="1"/>
      </rPr>
      <t>(kg)</t>
    </r>
  </si>
  <si>
    <r>
      <rPr>
        <sz val="9"/>
        <color rgb="FF000000"/>
        <rFont val="仿宋_GB2312"/>
        <charset val="134"/>
      </rPr>
      <t>整备质量</t>
    </r>
    <r>
      <rPr>
        <sz val="9"/>
        <color indexed="8"/>
        <rFont val="Times New Roman"/>
        <family val="1"/>
      </rPr>
      <t>(kg)</t>
    </r>
  </si>
  <si>
    <t>轮胎数量</t>
  </si>
  <si>
    <r>
      <rPr>
        <sz val="9"/>
        <color rgb="FF000000"/>
        <rFont val="仿宋_GB2312"/>
        <charset val="134"/>
      </rPr>
      <t>外廓尺寸（长×宽×高）</t>
    </r>
    <r>
      <rPr>
        <sz val="9"/>
        <color indexed="8"/>
        <rFont val="Times New Roman"/>
        <family val="1"/>
      </rPr>
      <t>(mm)</t>
    </r>
  </si>
  <si>
    <t>转向轴数量</t>
  </si>
  <si>
    <r>
      <rPr>
        <sz val="9"/>
        <color rgb="FF000000"/>
        <rFont val="仿宋_GB2312"/>
        <charset val="134"/>
      </rPr>
      <t>货厢栏板内尺寸（长×宽×高）</t>
    </r>
    <r>
      <rPr>
        <sz val="9"/>
        <color indexed="8"/>
        <rFont val="Times New Roman"/>
        <family val="1"/>
      </rPr>
      <t>(mm)</t>
    </r>
  </si>
  <si>
    <r>
      <rPr>
        <sz val="9"/>
        <color rgb="FF000000"/>
        <rFont val="仿宋_GB2312"/>
        <charset val="134"/>
      </rPr>
      <t>最高车速（</t>
    </r>
    <r>
      <rPr>
        <sz val="9"/>
        <color indexed="8"/>
        <rFont val="Times New Roman"/>
        <family val="1"/>
      </rPr>
      <t>km/h</t>
    </r>
    <r>
      <rPr>
        <sz val="9"/>
        <color indexed="8"/>
        <rFont val="仿宋_GB2312"/>
        <charset val="134"/>
      </rPr>
      <t>）</t>
    </r>
  </si>
  <si>
    <r>
      <rPr>
        <sz val="9"/>
        <color rgb="FF000000"/>
        <rFont val="仿宋_GB2312"/>
        <charset val="134"/>
      </rPr>
      <t>电子稳定性控制系统（</t>
    </r>
    <r>
      <rPr>
        <sz val="9"/>
        <color indexed="8"/>
        <rFont val="Times New Roman"/>
        <family val="1"/>
      </rPr>
      <t>ESC</t>
    </r>
    <r>
      <rPr>
        <sz val="9"/>
        <color indexed="8"/>
        <rFont val="仿宋_GB2312"/>
        <charset val="134"/>
      </rPr>
      <t>）</t>
    </r>
    <r>
      <rPr>
        <vertAlign val="superscript"/>
        <sz val="9"/>
        <color indexed="8"/>
        <rFont val="Times New Roman"/>
        <family val="1"/>
      </rPr>
      <t>3)</t>
    </r>
  </si>
  <si>
    <t>冷藏车温度监控装置</t>
  </si>
  <si>
    <r>
      <rPr>
        <sz val="9"/>
        <color rgb="FF000000"/>
        <rFont val="仿宋_GB2312"/>
        <charset val="134"/>
      </rPr>
      <t>驾驶室轮胎爆胎应急安全装置标示</t>
    </r>
    <r>
      <rPr>
        <vertAlign val="superscript"/>
        <sz val="9"/>
        <color indexed="8"/>
        <rFont val="Times New Roman"/>
        <family val="1"/>
      </rPr>
      <t xml:space="preserve">1) </t>
    </r>
  </si>
  <si>
    <t>制动系</t>
  </si>
  <si>
    <t>制动器型式</t>
  </si>
  <si>
    <r>
      <rPr>
        <sz val="9"/>
        <color rgb="FF000000"/>
        <rFont val="仿宋_GB2312"/>
        <charset val="134"/>
      </rPr>
      <t>一</t>
    </r>
    <r>
      <rPr>
        <sz val="9"/>
        <color rgb="FF000000"/>
        <rFont val="宋体"/>
        <family val="3"/>
        <charset val="134"/>
      </rPr>
      <t>桥</t>
    </r>
    <r>
      <rPr>
        <sz val="9"/>
        <color rgb="FF000000"/>
        <rFont val="仿宋_GB2312"/>
        <charset val="134"/>
      </rPr>
      <t>：□鼓式、□</t>
    </r>
    <r>
      <rPr>
        <sz val="9"/>
        <color rgb="FF000000"/>
        <rFont val="宋体"/>
        <family val="3"/>
        <charset val="134"/>
      </rPr>
      <t>盘</t>
    </r>
    <r>
      <rPr>
        <sz val="9"/>
        <color rgb="FF000000"/>
        <rFont val="仿宋_GB2312"/>
        <charset val="134"/>
      </rPr>
      <t>式
二桥：□鼓式、□盘式</t>
    </r>
  </si>
  <si>
    <t>制动器衬片更换报警装置</t>
  </si>
  <si>
    <r>
      <rPr>
        <sz val="9"/>
        <color rgb="FF000000"/>
        <rFont val="仿宋_GB2312"/>
        <charset val="134"/>
      </rPr>
      <t>制动储气筒工作气压</t>
    </r>
    <r>
      <rPr>
        <sz val="9"/>
        <color indexed="8"/>
        <rFont val="Times New Roman"/>
        <family val="1"/>
      </rPr>
      <t>(kPa)</t>
    </r>
    <r>
      <rPr>
        <sz val="9"/>
        <color indexed="8"/>
        <rFont val="仿宋_GB2312"/>
        <charset val="134"/>
      </rPr>
      <t>≥1000</t>
    </r>
    <r>
      <rPr>
        <vertAlign val="superscript"/>
        <sz val="9"/>
        <color indexed="8"/>
        <rFont val="Times New Roman"/>
        <family val="1"/>
      </rPr>
      <t>1)</t>
    </r>
  </si>
  <si>
    <r>
      <rPr>
        <sz val="9"/>
        <color rgb="FF000000"/>
        <rFont val="仿宋_GB2312"/>
        <charset val="134"/>
      </rPr>
      <t>压</t>
    </r>
    <r>
      <rPr>
        <sz val="9"/>
        <color rgb="FF000000"/>
        <rFont val="仿宋_GB2312"/>
        <charset val="134"/>
      </rPr>
      <t>力</t>
    </r>
    <r>
      <rPr>
        <sz val="9"/>
        <color rgb="FF000000"/>
        <rFont val="仿宋_GB2312"/>
        <charset val="134"/>
      </rPr>
      <t>测试连</t>
    </r>
    <r>
      <rPr>
        <sz val="9"/>
        <color rgb="FF000000"/>
        <rFont val="仿宋_GB2312"/>
        <charset val="134"/>
      </rPr>
      <t>接器</t>
    </r>
    <r>
      <rPr>
        <sz val="9"/>
        <color rgb="FF000000"/>
        <rFont val="仿宋_GB2312"/>
        <charset val="134"/>
      </rPr>
      <t>数</t>
    </r>
    <r>
      <rPr>
        <sz val="9"/>
        <color rgb="FF000000"/>
        <rFont val="仿宋_GB2312"/>
        <charset val="134"/>
      </rPr>
      <t>量（</t>
    </r>
    <r>
      <rPr>
        <sz val="9"/>
        <color rgb="FF000000"/>
        <rFont val="仿宋_GB2312"/>
        <charset val="134"/>
      </rPr>
      <t>储</t>
    </r>
    <r>
      <rPr>
        <sz val="9"/>
        <color rgb="FF000000"/>
        <rFont val="仿宋_GB2312"/>
        <charset val="134"/>
      </rPr>
      <t>气筒）</t>
    </r>
  </si>
  <si>
    <r>
      <rPr>
        <sz val="9"/>
        <color rgb="FF000000"/>
        <rFont val="仿宋_GB2312"/>
        <charset val="134"/>
      </rPr>
      <t>自动紧急制动系统（</t>
    </r>
    <r>
      <rPr>
        <sz val="9"/>
        <color indexed="8"/>
        <rFont val="Times New Roman"/>
        <family val="1"/>
      </rPr>
      <t>AEBS</t>
    </r>
    <r>
      <rPr>
        <sz val="9"/>
        <color indexed="8"/>
        <rFont val="仿宋_GB2312"/>
        <charset val="134"/>
      </rPr>
      <t>）</t>
    </r>
    <r>
      <rPr>
        <vertAlign val="superscript"/>
        <sz val="9"/>
        <color indexed="8"/>
        <rFont val="Times New Roman"/>
        <family val="1"/>
      </rPr>
      <t>3)</t>
    </r>
  </si>
  <si>
    <r>
      <rPr>
        <sz val="9"/>
        <color rgb="FF000000"/>
        <rFont val="仿宋_GB2312"/>
        <charset val="134"/>
      </rPr>
      <t>压</t>
    </r>
    <r>
      <rPr>
        <sz val="9"/>
        <color rgb="FF000000"/>
        <rFont val="仿宋_GB2312"/>
        <charset val="134"/>
      </rPr>
      <t>力</t>
    </r>
    <r>
      <rPr>
        <sz val="9"/>
        <color rgb="FF000000"/>
        <rFont val="仿宋_GB2312"/>
        <charset val="134"/>
      </rPr>
      <t>测试连</t>
    </r>
    <r>
      <rPr>
        <sz val="9"/>
        <color rgb="FF000000"/>
        <rFont val="仿宋_GB2312"/>
        <charset val="134"/>
      </rPr>
      <t>接器</t>
    </r>
    <r>
      <rPr>
        <sz val="9"/>
        <color rgb="FF000000"/>
        <rFont val="仿宋_GB2312"/>
        <charset val="134"/>
      </rPr>
      <t>数</t>
    </r>
    <r>
      <rPr>
        <sz val="9"/>
        <color rgb="FF000000"/>
        <rFont val="仿宋_GB2312"/>
        <charset val="134"/>
      </rPr>
      <t>量（制</t>
    </r>
    <r>
      <rPr>
        <sz val="9"/>
        <color rgb="FF000000"/>
        <rFont val="仿宋_GB2312"/>
        <charset val="134"/>
      </rPr>
      <t>动</t>
    </r>
    <r>
      <rPr>
        <sz val="9"/>
        <color rgb="FF000000"/>
        <rFont val="仿宋_GB2312"/>
        <charset val="134"/>
      </rPr>
      <t>气室）</t>
    </r>
  </si>
  <si>
    <t>安全防护与其他</t>
  </si>
  <si>
    <t>起重尾板警示标识</t>
  </si>
  <si>
    <t>载荷布置标识</t>
  </si>
  <si>
    <t>气体泄漏报警装置（燃气汽车）</t>
  </si>
  <si>
    <r>
      <rPr>
        <sz val="9"/>
        <color rgb="FF000000"/>
        <rFont val="仿宋_GB2312"/>
        <charset val="134"/>
      </rPr>
      <t>轮胎气压监测系统</t>
    </r>
    <r>
      <rPr>
        <vertAlign val="superscript"/>
        <sz val="9"/>
        <color indexed="8"/>
        <rFont val="Times New Roman"/>
        <family val="1"/>
      </rPr>
      <t xml:space="preserve">2) </t>
    </r>
  </si>
  <si>
    <r>
      <rPr>
        <sz val="9"/>
        <color rgb="FF000000"/>
        <rFont val="仿宋_GB2312"/>
        <charset val="134"/>
      </rPr>
      <t>车道偏离预警系统（</t>
    </r>
    <r>
      <rPr>
        <sz val="9"/>
        <color indexed="8"/>
        <rFont val="Times New Roman"/>
        <family val="1"/>
      </rPr>
      <t>LDWS</t>
    </r>
    <r>
      <rPr>
        <sz val="9"/>
        <color indexed="8"/>
        <rFont val="仿宋_GB2312"/>
        <charset val="134"/>
      </rPr>
      <t>）</t>
    </r>
    <r>
      <rPr>
        <vertAlign val="superscript"/>
        <sz val="9"/>
        <color indexed="8"/>
        <rFont val="Times New Roman"/>
        <family val="1"/>
      </rPr>
      <t xml:space="preserve">2) </t>
    </r>
  </si>
  <si>
    <r>
      <rPr>
        <sz val="9"/>
        <color rgb="FF000000"/>
        <rFont val="仿宋_GB2312"/>
        <charset val="134"/>
      </rPr>
      <t>车辆前向碰撞预警系统</t>
    </r>
    <r>
      <rPr>
        <vertAlign val="superscript"/>
        <sz val="9"/>
        <color indexed="8"/>
        <rFont val="Times New Roman"/>
        <family val="1"/>
      </rPr>
      <t>2)</t>
    </r>
    <r>
      <rPr>
        <sz val="9"/>
        <color indexed="8"/>
        <rFont val="Times New Roman"/>
        <family val="1"/>
      </rPr>
      <t xml:space="preserve"> </t>
    </r>
  </si>
  <si>
    <t>前下部防护装置</t>
  </si>
  <si>
    <t>后下部防护装置</t>
  </si>
  <si>
    <t>系固点数量</t>
  </si>
  <si>
    <r>
      <rPr>
        <sz val="9"/>
        <color rgb="FF000000"/>
        <rFont val="仿宋_GB2312"/>
        <charset val="134"/>
      </rPr>
      <t>前墙：</t>
    </r>
    <r>
      <rPr>
        <sz val="9"/>
        <color indexed="8"/>
        <rFont val="Times New Roman"/>
        <family val="1"/>
      </rPr>
      <t xml:space="preserve">     </t>
    </r>
  </si>
  <si>
    <t>侧面防护装置</t>
  </si>
  <si>
    <t>水平承载面：</t>
  </si>
  <si>
    <t>汽车导静电橡胶拖地带（燃气汽车）</t>
  </si>
  <si>
    <r>
      <rPr>
        <sz val="9"/>
        <color rgb="FF000000"/>
        <rFont val="仿宋_GB2312"/>
        <charset val="134"/>
      </rPr>
      <t>特种</t>
    </r>
    <r>
      <rPr>
        <sz val="9"/>
        <color rgb="FF000000"/>
        <rFont val="宋体"/>
        <family val="3"/>
        <charset val="134"/>
      </rPr>
      <t>车</t>
    </r>
    <r>
      <rPr>
        <sz val="9"/>
        <color rgb="FF000000"/>
        <rFont val="仿宋_GB2312"/>
        <charset val="134"/>
      </rPr>
      <t>型
判定</t>
    </r>
  </si>
  <si>
    <t>□符   合
□不符合</t>
  </si>
  <si>
    <r>
      <rPr>
        <sz val="10"/>
        <color rgb="FF000000"/>
        <rFont val="仿宋_GB2312"/>
        <charset val="134"/>
      </rPr>
      <t>本表是交通</t>
    </r>
    <r>
      <rPr>
        <sz val="10"/>
        <color rgb="FF000000"/>
        <rFont val="宋体"/>
        <family val="3"/>
        <charset val="134"/>
      </rPr>
      <t>运输</t>
    </r>
    <r>
      <rPr>
        <sz val="10"/>
        <color rgb="FF000000"/>
        <rFont val="仿宋_GB2312"/>
        <charset val="134"/>
      </rPr>
      <t>管理部</t>
    </r>
    <r>
      <rPr>
        <sz val="10"/>
        <color rgb="FF000000"/>
        <rFont val="宋体"/>
        <family val="3"/>
        <charset val="134"/>
      </rPr>
      <t>门开</t>
    </r>
    <r>
      <rPr>
        <sz val="10"/>
        <color rgb="FF000000"/>
        <rFont val="仿宋_GB2312"/>
        <charset val="134"/>
      </rPr>
      <t>展道路</t>
    </r>
    <r>
      <rPr>
        <sz val="10"/>
        <color rgb="FF000000"/>
        <rFont val="宋体"/>
        <family val="3"/>
        <charset val="134"/>
      </rPr>
      <t>运输达标车辆</t>
    </r>
    <r>
      <rPr>
        <sz val="10"/>
        <color rgb="FF000000"/>
        <rFont val="仿宋_GB2312"/>
        <charset val="134"/>
      </rPr>
      <t>核查</t>
    </r>
    <r>
      <rPr>
        <sz val="10"/>
        <color rgb="FF000000"/>
        <rFont val="宋体"/>
        <family val="3"/>
        <charset val="134"/>
      </rPr>
      <t>记录</t>
    </r>
    <r>
      <rPr>
        <sz val="10"/>
        <color rgb="FF000000"/>
        <rFont val="仿宋_GB2312"/>
        <charset val="134"/>
      </rPr>
      <t>表，用于核查</t>
    </r>
    <r>
      <rPr>
        <sz val="10"/>
        <color rgb="FF000000"/>
        <rFont val="宋体"/>
        <family val="3"/>
        <charset val="134"/>
      </rPr>
      <t>实车</t>
    </r>
    <r>
      <rPr>
        <sz val="10"/>
        <color rgb="FF000000"/>
        <rFont val="仿宋_GB2312"/>
        <charset val="134"/>
      </rPr>
      <t>的一致性，在</t>
    </r>
    <r>
      <rPr>
        <sz val="10"/>
        <color rgb="FF000000"/>
        <rFont val="宋体"/>
        <family val="3"/>
        <charset val="134"/>
      </rPr>
      <t>选</t>
    </r>
    <r>
      <rPr>
        <sz val="10"/>
        <color rgb="FF000000"/>
        <rFont val="仿宋_GB2312"/>
        <charset val="134"/>
      </rPr>
      <t>中</t>
    </r>
    <r>
      <rPr>
        <sz val="10"/>
        <color rgb="FF000000"/>
        <rFont val="宋体"/>
        <family val="3"/>
        <charset val="134"/>
      </rPr>
      <t>栏</t>
    </r>
    <r>
      <rPr>
        <sz val="10"/>
        <color rgb="FF000000"/>
        <rFont val="仿宋_GB2312"/>
        <charset val="134"/>
      </rPr>
      <t>的“□”中打“√”，不适用</t>
    </r>
    <r>
      <rPr>
        <sz val="10"/>
        <color rgb="FF000000"/>
        <rFont val="宋体"/>
        <family val="3"/>
        <charset val="134"/>
      </rPr>
      <t>项</t>
    </r>
    <r>
      <rPr>
        <sz val="10"/>
        <color rgb="FF000000"/>
        <rFont val="仿宋_GB2312"/>
        <charset val="134"/>
      </rPr>
      <t>目可“—”掉，其他空格</t>
    </r>
    <r>
      <rPr>
        <sz val="10"/>
        <color rgb="FF000000"/>
        <rFont val="宋体"/>
        <family val="3"/>
        <charset val="134"/>
      </rPr>
      <t>栏应</t>
    </r>
    <r>
      <rPr>
        <sz val="10"/>
        <color rgb="FF000000"/>
        <rFont val="仿宋_GB2312"/>
        <charset val="134"/>
      </rPr>
      <t>填</t>
    </r>
    <r>
      <rPr>
        <sz val="10"/>
        <color rgb="FF000000"/>
        <rFont val="宋体"/>
        <family val="3"/>
        <charset val="134"/>
      </rPr>
      <t>写</t>
    </r>
    <r>
      <rPr>
        <sz val="10"/>
        <color rgb="FF000000"/>
        <rFont val="仿宋_GB2312"/>
        <charset val="134"/>
      </rPr>
      <t>具体</t>
    </r>
    <r>
      <rPr>
        <sz val="10"/>
        <color rgb="FF000000"/>
        <rFont val="宋体"/>
        <family val="3"/>
        <charset val="134"/>
      </rPr>
      <t>数</t>
    </r>
    <r>
      <rPr>
        <sz val="10"/>
        <color rgb="FF000000"/>
        <rFont val="仿宋_GB2312"/>
        <charset val="134"/>
      </rPr>
      <t>据。
注1：脚注1）自2019年5月1日起执行；脚注2）自2020年5月1日起执行；脚注3）自2021年5月1日起执行。</t>
    </r>
  </si>
  <si>
    <t>山西省道路旅客运输车辆年度类型等级评定复核表</t>
  </si>
  <si>
    <t xml:space="preserve">  No:</t>
  </si>
  <si>
    <t>厂牌型号</t>
  </si>
  <si>
    <t>座（铺）位数</t>
  </si>
  <si>
    <t>注册日期</t>
  </si>
  <si>
    <r>
      <rPr>
        <sz val="10.5"/>
        <color theme="1"/>
        <rFont val="仿宋_GB2312"/>
        <charset val="134"/>
      </rPr>
      <t>年</t>
    </r>
    <r>
      <rPr>
        <sz val="10.5"/>
        <color indexed="8"/>
        <rFont val="Times New Roman"/>
        <family val="1"/>
      </rPr>
      <t xml:space="preserve">   </t>
    </r>
    <r>
      <rPr>
        <sz val="10.5"/>
        <color indexed="8"/>
        <rFont val="仿宋_GB2312"/>
        <charset val="134"/>
      </rPr>
      <t>月</t>
    </r>
  </si>
  <si>
    <t>道路运输证号</t>
  </si>
  <si>
    <t>车辆技术等级</t>
  </si>
  <si>
    <t>原类型等级</t>
  </si>
  <si>
    <r>
      <rPr>
        <sz val="10.5"/>
        <color theme="1"/>
        <rFont val="Times New Roman"/>
        <family val="1"/>
      </rPr>
      <t xml:space="preserve">   </t>
    </r>
    <r>
      <rPr>
        <sz val="10.5"/>
        <color indexed="8"/>
        <rFont val="仿宋_GB2312"/>
        <charset val="134"/>
      </rPr>
      <t>型</t>
    </r>
    <r>
      <rPr>
        <sz val="10.5"/>
        <color indexed="8"/>
        <rFont val="Times New Roman"/>
        <family val="1"/>
      </rPr>
      <t xml:space="preserve">     </t>
    </r>
    <r>
      <rPr>
        <sz val="10.5"/>
        <color indexed="8"/>
        <rFont val="仿宋_GB2312"/>
        <charset val="134"/>
      </rPr>
      <t>级</t>
    </r>
  </si>
  <si>
    <t>复核项目</t>
  </si>
  <si>
    <t>复核内容</t>
  </si>
  <si>
    <t>复核意见</t>
  </si>
  <si>
    <t>客车结构</t>
  </si>
  <si>
    <t>乘客门、应急门、安全顶窗、行李舱、车内行李架、车外行李架是否符合。</t>
  </si>
  <si>
    <t>□符合    □不符合</t>
  </si>
  <si>
    <r>
      <rPr>
        <sz val="10.5"/>
        <color theme="1"/>
        <rFont val="仿宋_GB2312"/>
        <charset val="134"/>
      </rPr>
      <t>不符合</t>
    </r>
    <r>
      <rPr>
        <sz val="10.5"/>
        <color theme="1"/>
        <rFont val="宋体"/>
        <family val="3"/>
        <charset val="134"/>
      </rPr>
      <t>内</t>
    </r>
    <r>
      <rPr>
        <sz val="10.5"/>
        <color theme="1"/>
        <rFont val="仿宋_GB2312"/>
        <charset val="134"/>
      </rPr>
      <t>容</t>
    </r>
    <r>
      <rPr>
        <u/>
        <sz val="10.5"/>
        <color theme="1"/>
        <rFont val="仿宋_GB2312"/>
        <charset val="134"/>
      </rPr>
      <t>：</t>
    </r>
    <r>
      <rPr>
        <u/>
        <sz val="10.5"/>
        <color indexed="8"/>
        <rFont val="仿宋_GB2312"/>
        <charset val="134"/>
      </rPr>
      <t xml:space="preserve">              </t>
    </r>
  </si>
  <si>
    <t>客车底盘</t>
  </si>
  <si>
    <r>
      <rPr>
        <sz val="10.5"/>
        <color theme="1"/>
        <rFont val="仿宋_GB2312"/>
        <charset val="134"/>
      </rPr>
      <t>悬架结构、</t>
    </r>
    <r>
      <rPr>
        <sz val="10.5"/>
        <color indexed="8"/>
        <rFont val="Times New Roman"/>
        <family val="1"/>
      </rPr>
      <t>ABS</t>
    </r>
    <r>
      <rPr>
        <sz val="10.5"/>
        <color indexed="8"/>
        <rFont val="仿宋_GB2312"/>
        <charset val="134"/>
      </rPr>
      <t>、缓速器、蹄片间隙调整装置、动力转向装置、底盘集中润滑系统、随动转向机构配置是否符合。</t>
    </r>
  </si>
  <si>
    <r>
      <rPr>
        <sz val="10.5"/>
        <color theme="1"/>
        <rFont val="仿宋_GB2312"/>
        <charset val="134"/>
      </rPr>
      <t>不符合</t>
    </r>
    <r>
      <rPr>
        <sz val="10.5"/>
        <color theme="1"/>
        <rFont val="宋体"/>
        <family val="3"/>
        <charset val="134"/>
      </rPr>
      <t>内</t>
    </r>
    <r>
      <rPr>
        <sz val="10.5"/>
        <color theme="1"/>
        <rFont val="仿宋_GB2312"/>
        <charset val="134"/>
      </rPr>
      <t>容：</t>
    </r>
    <r>
      <rPr>
        <u/>
        <sz val="10.5"/>
        <color indexed="8"/>
        <rFont val="仿宋_GB2312"/>
        <charset val="134"/>
      </rPr>
      <t xml:space="preserve">              </t>
    </r>
  </si>
  <si>
    <t>空调装置</t>
  </si>
  <si>
    <t>空调（含温控装置与强制通风装置）、暖气设施是否正常有效。</t>
  </si>
  <si>
    <r>
      <rPr>
        <sz val="10.5"/>
        <color theme="1"/>
        <rFont val="仿宋_GB2312"/>
        <charset val="134"/>
      </rPr>
      <t>不符合</t>
    </r>
    <r>
      <rPr>
        <sz val="10.5"/>
        <color theme="1"/>
        <rFont val="宋体"/>
        <family val="3"/>
        <charset val="134"/>
      </rPr>
      <t>内</t>
    </r>
    <r>
      <rPr>
        <sz val="10.5"/>
        <color theme="1"/>
        <rFont val="仿宋_GB2312"/>
        <charset val="134"/>
      </rPr>
      <t>容：</t>
    </r>
    <r>
      <rPr>
        <u/>
        <sz val="10.5"/>
        <color indexed="8"/>
        <rFont val="仿宋_GB2312"/>
        <charset val="134"/>
      </rPr>
      <t xml:space="preserve">                </t>
    </r>
  </si>
  <si>
    <r>
      <rPr>
        <sz val="10.5"/>
        <color theme="1"/>
        <rFont val="仿宋_GB2312"/>
        <charset val="134"/>
      </rPr>
      <t>座位</t>
    </r>
    <r>
      <rPr>
        <sz val="10.5"/>
        <color indexed="8"/>
        <rFont val="Times New Roman"/>
        <family val="1"/>
      </rPr>
      <t>/</t>
    </r>
    <r>
      <rPr>
        <sz val="10.5"/>
        <color indexed="8"/>
        <rFont val="仿宋_GB2312"/>
        <charset val="134"/>
      </rPr>
      <t>通道</t>
    </r>
  </si>
  <si>
    <t>座椅数量是否增加；座椅、靠背、扶手、脚蹬调节功能是否正常；通道宽是否符合要求，是否增设折叠椅。</t>
  </si>
  <si>
    <t>□符合  □不符合  □不适用</t>
  </si>
  <si>
    <r>
      <rPr>
        <sz val="10.5"/>
        <color theme="1"/>
        <rFont val="仿宋_GB2312"/>
        <charset val="134"/>
      </rPr>
      <t>不符合内容：</t>
    </r>
    <r>
      <rPr>
        <u/>
        <sz val="10.5"/>
        <color indexed="8"/>
        <rFont val="仿宋_GB2312"/>
        <charset val="134"/>
      </rPr>
      <t xml:space="preserve">                 </t>
    </r>
  </si>
  <si>
    <r>
      <rPr>
        <sz val="10.5"/>
        <color theme="1"/>
        <rFont val="仿宋_GB2312"/>
        <charset val="134"/>
      </rPr>
      <t>卧铺</t>
    </r>
    <r>
      <rPr>
        <sz val="10.5"/>
        <color indexed="8"/>
        <rFont val="Times New Roman"/>
        <family val="1"/>
      </rPr>
      <t>/</t>
    </r>
    <r>
      <rPr>
        <sz val="10.5"/>
        <color indexed="8"/>
        <rFont val="仿宋_GB2312"/>
        <charset val="134"/>
      </rPr>
      <t>排列</t>
    </r>
  </si>
  <si>
    <t>卧铺数量是否增加；铺位排列、间距是否改变；护栏、铺位是否有影响安全和舒适性的损坏和改装。</t>
  </si>
  <si>
    <t>安全配置</t>
  </si>
  <si>
    <r>
      <rPr>
        <sz val="10.5"/>
        <color theme="1"/>
        <rFont val="仿宋_GB2312"/>
        <charset val="134"/>
      </rPr>
      <t>车轮、轮胎是否符合；胎压监测报警系统、爆胎应急安全装置、</t>
    </r>
    <r>
      <rPr>
        <sz val="10.5"/>
        <color indexed="8"/>
        <rFont val="Times New Roman"/>
        <family val="1"/>
      </rPr>
      <t>AEBS</t>
    </r>
    <r>
      <rPr>
        <sz val="10.5"/>
        <color indexed="8"/>
        <rFont val="仿宋_GB2312"/>
        <charset val="134"/>
      </rPr>
      <t>、</t>
    </r>
    <r>
      <rPr>
        <sz val="10.5"/>
        <color indexed="8"/>
        <rFont val="Times New Roman"/>
        <family val="1"/>
      </rPr>
      <t>LDWS</t>
    </r>
    <r>
      <rPr>
        <sz val="10.5"/>
        <color indexed="8"/>
        <rFont val="仿宋_GB2312"/>
        <charset val="134"/>
      </rPr>
      <t>、</t>
    </r>
    <r>
      <rPr>
        <sz val="10.5"/>
        <color indexed="8"/>
        <rFont val="Times New Roman"/>
        <family val="1"/>
      </rPr>
      <t>ESC</t>
    </r>
    <r>
      <rPr>
        <sz val="10.5"/>
        <color indexed="8"/>
        <rFont val="仿宋_GB2312"/>
        <charset val="134"/>
      </rPr>
      <t>配置是否改变；安全带是否齐全有效；发动机舱灭火装置（纯电动及混合动力客车动力电池箱自动灭火装置）配置是否符合。</t>
    </r>
  </si>
  <si>
    <r>
      <rPr>
        <sz val="10.5"/>
        <color theme="1"/>
        <rFont val="仿宋_GB2312"/>
        <charset val="134"/>
      </rPr>
      <t>不符合内容：</t>
    </r>
    <r>
      <rPr>
        <u/>
        <sz val="10.5"/>
        <color indexed="8"/>
        <rFont val="仿宋_GB2312"/>
        <charset val="134"/>
      </rPr>
      <t xml:space="preserve">               </t>
    </r>
  </si>
  <si>
    <t>服务设施</t>
  </si>
  <si>
    <t>卫星定位系统车载终端、卫生间、影音系统、空气净化装置、饮水设备、侧窗帘、乘客阅读灯、时钟等服务设施是否符合。</t>
  </si>
  <si>
    <r>
      <rPr>
        <sz val="10.5"/>
        <color theme="1"/>
        <rFont val="仿宋_GB2312"/>
        <charset val="134"/>
      </rPr>
      <t>不符合内容：</t>
    </r>
    <r>
      <rPr>
        <u/>
        <sz val="10.5"/>
        <color indexed="8"/>
        <rFont val="仿宋_GB2312"/>
        <charset val="134"/>
      </rPr>
      <t xml:space="preserve">                </t>
    </r>
  </si>
  <si>
    <t>其他项目</t>
  </si>
  <si>
    <r>
      <rPr>
        <sz val="10.5"/>
        <color theme="1"/>
        <rFont val="Times New Roman"/>
        <family val="1"/>
      </rPr>
      <t>CAN</t>
    </r>
    <r>
      <rPr>
        <sz val="10.5"/>
        <color indexed="8"/>
        <rFont val="仿宋_GB2312"/>
        <charset val="134"/>
      </rPr>
      <t>总线、节能风扇散热系统是否符合。</t>
    </r>
  </si>
  <si>
    <t>复核结论</t>
  </si>
  <si>
    <r>
      <rPr>
        <b/>
        <sz val="14"/>
        <color theme="1"/>
        <rFont val="楷体_GB2312"/>
        <charset val="134"/>
      </rPr>
      <t>类型等级核定为：</t>
    </r>
    <r>
      <rPr>
        <b/>
        <u/>
        <sz val="14"/>
        <color indexed="8"/>
        <rFont val="楷体_GB2312"/>
        <charset val="134"/>
      </rPr>
      <t xml:space="preserve">       </t>
    </r>
    <r>
      <rPr>
        <b/>
        <sz val="14"/>
        <color indexed="8"/>
        <rFont val="楷体_GB2312"/>
        <charset val="134"/>
      </rPr>
      <t>型</t>
    </r>
    <r>
      <rPr>
        <b/>
        <u/>
        <sz val="14"/>
        <color indexed="8"/>
        <rFont val="楷体_GB2312"/>
        <charset val="134"/>
      </rPr>
      <t xml:space="preserve">       </t>
    </r>
    <r>
      <rPr>
        <b/>
        <sz val="14"/>
        <color indexed="8"/>
        <rFont val="楷体_GB2312"/>
        <charset val="134"/>
      </rPr>
      <t>级</t>
    </r>
  </si>
  <si>
    <r>
      <rPr>
        <sz val="10.5"/>
        <color theme="1"/>
        <rFont val="仿宋_GB2312"/>
        <charset val="134"/>
      </rPr>
      <t>复核人</t>
    </r>
    <r>
      <rPr>
        <sz val="10.5"/>
        <color theme="1"/>
        <rFont val="宋体"/>
        <family val="3"/>
        <charset val="134"/>
      </rPr>
      <t>签</t>
    </r>
    <r>
      <rPr>
        <sz val="10.5"/>
        <color theme="1"/>
        <rFont val="仿宋_GB2312"/>
        <charset val="134"/>
      </rPr>
      <t>字：</t>
    </r>
    <r>
      <rPr>
        <sz val="10.5"/>
        <color indexed="8"/>
        <rFont val="Times New Roman"/>
        <family val="1"/>
      </rPr>
      <t xml:space="preserve">                                     </t>
    </r>
    <r>
      <rPr>
        <sz val="10.5"/>
        <color indexed="8"/>
        <rFont val="仿宋_GB2312"/>
        <charset val="134"/>
      </rPr>
      <t>复核</t>
    </r>
    <r>
      <rPr>
        <sz val="10.5"/>
        <color indexed="8"/>
        <rFont val="宋体"/>
        <family val="3"/>
        <charset val="134"/>
      </rPr>
      <t>单</t>
    </r>
    <r>
      <rPr>
        <sz val="10.5"/>
        <color indexed="8"/>
        <rFont val="仿宋_GB2312"/>
        <charset val="134"/>
      </rPr>
      <t>位（</t>
    </r>
    <r>
      <rPr>
        <sz val="10.5"/>
        <color indexed="8"/>
        <rFont val="宋体"/>
        <family val="3"/>
        <charset val="134"/>
      </rPr>
      <t>盖</t>
    </r>
    <r>
      <rPr>
        <sz val="10.5"/>
        <color indexed="8"/>
        <rFont val="仿宋_GB2312"/>
        <charset val="134"/>
      </rPr>
      <t>章）</t>
    </r>
  </si>
  <si>
    <r>
      <rPr>
        <sz val="10.5"/>
        <color theme="1"/>
        <rFont val="宋体"/>
        <family val="3"/>
        <charset val="134"/>
      </rPr>
      <t>注：本表一式</t>
    </r>
    <r>
      <rPr>
        <sz val="10.5"/>
        <color indexed="8"/>
        <rFont val="Times New Roman"/>
        <family val="1"/>
      </rPr>
      <t>3</t>
    </r>
    <r>
      <rPr>
        <sz val="10.5"/>
        <color indexed="8"/>
        <rFont val="宋体"/>
        <family val="3"/>
        <charset val="134"/>
      </rPr>
      <t>份，</t>
    </r>
    <r>
      <rPr>
        <sz val="10.5"/>
        <color indexed="8"/>
        <rFont val="Times New Roman"/>
        <family val="1"/>
      </rPr>
      <t>2</t>
    </r>
    <r>
      <rPr>
        <sz val="10.5"/>
        <color indexed="8"/>
        <rFont val="宋体"/>
        <family val="3"/>
        <charset val="134"/>
      </rPr>
      <t>份交由复核申请人，</t>
    </r>
    <r>
      <rPr>
        <sz val="10.5"/>
        <color indexed="8"/>
        <rFont val="Times New Roman"/>
        <family val="1"/>
      </rPr>
      <t>1</t>
    </r>
    <r>
      <rPr>
        <sz val="10.5"/>
        <color indexed="8"/>
        <rFont val="宋体"/>
        <family val="3"/>
        <charset val="134"/>
      </rPr>
      <t>份由复核单位留存。</t>
    </r>
  </si>
  <si>
    <t>填表说明</t>
  </si>
  <si>
    <t>一、 表头及基本信息</t>
  </si>
  <si>
    <t>1.年度、编号：填写复核年度，复核表编号规则由复核单位自行确定。</t>
  </si>
  <si>
    <t>2.业户名称：填写车辆所属道路运输企业名称。</t>
  </si>
  <si>
    <t>3.号牌号码：查验行驶证、道路运输证和车辆号牌号码的一致性，并填写。</t>
  </si>
  <si>
    <t>4.厂牌型号：查验整车铭牌上标称的品牌、型号，如：宇通ZK6127H19。</t>
  </si>
  <si>
    <t>5.座（铺）位数：查验客车上的座（铺）位总数，含驾驶员座位。</t>
  </si>
  <si>
    <t>6.车辆技术等级：填写本次技术等级评定结果。</t>
  </si>
  <si>
    <t>7.原类型等级：填写上一年度的类型等级。</t>
  </si>
  <si>
    <t>二、复核项目</t>
  </si>
  <si>
    <t>1.客车结构：根据道路运输车辆技术服务网发布的达标车型信息，查验乘客门结构、数量，应急门、安全顶窗位置数量，行李舱、车内行李架、车外行李架配置，是否有不符合标准的改装，空间是否被挤占缩小。</t>
  </si>
  <si>
    <t>2.客车底盘：悬架结构指历版JT/T325标准定义及等级评定信息表发布的悬架结构类型，查验ABS、缓速器、蹄片间隙调整装置、动力转向装置、底盘集中润滑系统、特大型三轴客车的随动转向机构配置是否符合原等级规定。</t>
  </si>
  <si>
    <t>3.空调装置：查验空调（含温控装置与强制通风装置）、暖气设施的配置是否符合原等级规定，且功能正常。</t>
  </si>
  <si>
    <t>4.座位/通道：查验车辆是否增加座椅数量；座椅、靠背、扶手、脚蹬调节功能是否正常；通道宽是否符合要求，是否增设折叠椅。卧铺客车勾选不适用。</t>
  </si>
  <si>
    <r>
      <rPr>
        <sz val="14"/>
        <color theme="1"/>
        <rFont val="仿宋_GB2312"/>
        <charset val="134"/>
      </rPr>
      <t>5.</t>
    </r>
    <r>
      <rPr>
        <sz val="10.5"/>
        <color indexed="8"/>
        <rFont val="Times New Roman"/>
        <family val="1"/>
      </rPr>
      <t xml:space="preserve"> </t>
    </r>
    <r>
      <rPr>
        <sz val="14"/>
        <color indexed="8"/>
        <rFont val="仿宋_GB2312"/>
        <charset val="134"/>
      </rPr>
      <t>卧铺/排列：查验车辆是否增加卧铺数量；是否改变铺位排列、间距；护栏、铺位等是否有影响安全和舒适性的损坏和改装。座位客车勾选不适用。</t>
    </r>
  </si>
  <si>
    <r>
      <rPr>
        <sz val="14"/>
        <color theme="1"/>
        <rFont val="仿宋_GB2312"/>
        <charset val="134"/>
      </rPr>
      <t>6.</t>
    </r>
    <r>
      <rPr>
        <sz val="10.5"/>
        <color indexed="8"/>
        <rFont val="Times New Roman"/>
        <family val="1"/>
      </rPr>
      <t xml:space="preserve"> </t>
    </r>
    <r>
      <rPr>
        <sz val="14"/>
        <color indexed="8"/>
        <rFont val="仿宋_GB2312"/>
        <charset val="134"/>
      </rPr>
      <t>安全配置：查验车轮、轮胎有无不符合标准的更换，注意旋压车轮、子午线轮胎、无内胎子午线轮胎的配置及轮胎规格型号要求；查验胎压监测报警系统、爆胎应急安全装置、AEBS、LDWS、ESC配置是否改变；安全带是否齐全有效；发动机舱灭火装置（纯电动及混合动力客车动力电池箱自动灭火装置）配置是否符合原等级规定。</t>
    </r>
  </si>
  <si>
    <t>7.服务设施：查验卫星定位系统车载终端、卫生间、影音系统、空气净化装置、饮水设备、侧窗帘、乘客阅读灯、时钟等服务设施是否符合原等级规定。</t>
  </si>
  <si>
    <r>
      <rPr>
        <sz val="14"/>
        <color theme="1"/>
        <rFont val="仿宋_GB2312"/>
        <charset val="134"/>
      </rPr>
      <t>8.其他项目：查验</t>
    </r>
    <r>
      <rPr>
        <sz val="10.5"/>
        <color indexed="8"/>
        <rFont val="Times New Roman"/>
        <family val="1"/>
      </rPr>
      <t xml:space="preserve"> </t>
    </r>
    <r>
      <rPr>
        <sz val="14"/>
        <color indexed="8"/>
        <rFont val="仿宋_GB2312"/>
        <charset val="134"/>
      </rPr>
      <t>CAN总线、节能风扇散热系统是否符合原等级规定。</t>
    </r>
  </si>
  <si>
    <t>三、复核意见</t>
  </si>
  <si>
    <r>
      <rPr>
        <u/>
        <sz val="11"/>
        <color rgb="FF0000FF"/>
        <rFont val="宋体"/>
        <family val="3"/>
        <charset val="134"/>
        <scheme val="minor"/>
      </rPr>
      <t>根据客车类型等级查询网站（</t>
    </r>
    <r>
      <rPr>
        <u/>
        <sz val="11"/>
        <color indexed="12"/>
        <rFont val="等线"/>
        <charset val="134"/>
      </rPr>
      <t>http://atestsc.mot.gov.cn）发布的达标车型类型等级评定信息，及有关标准、规范，符合原等级标准的，勾选 “符合”；不符合原等级标准的，勾选“不符合”，并在“不符合内容：    ”处填写不符合的项目内容，以便于车属企业整改；不适用的复核项目，勾选“不适用”。</t>
    </r>
  </si>
  <si>
    <t>四、复核结论</t>
  </si>
  <si>
    <t xml:space="preserve"> 根据复核情况，填写核定的类型等级。</t>
  </si>
  <si>
    <t>五、复核人、复核单位</t>
  </si>
  <si>
    <t>复核人签字、复核单位盖章，并签注复核日期。</t>
  </si>
  <si>
    <t>小型汽车</t>
  </si>
  <si>
    <r>
      <t>驱动电机型号</t>
    </r>
    <r>
      <rPr>
        <vertAlign val="superscript"/>
        <sz val="8"/>
        <color theme="1"/>
        <rFont val="宋体"/>
        <family val="3"/>
        <charset val="134"/>
      </rPr>
      <t>1）</t>
    </r>
  </si>
  <si>
    <r>
      <t>储能装置型号</t>
    </r>
    <r>
      <rPr>
        <vertAlign val="superscript"/>
        <sz val="9"/>
        <color theme="1"/>
        <rFont val="宋体"/>
        <family val="3"/>
        <charset val="134"/>
      </rPr>
      <t>1）</t>
    </r>
  </si>
  <si>
    <r>
      <t>电池容量</t>
    </r>
    <r>
      <rPr>
        <vertAlign val="superscript"/>
        <sz val="9"/>
        <color theme="1"/>
        <rFont val="宋体"/>
        <family val="3"/>
        <charset val="134"/>
      </rPr>
      <t>1）</t>
    </r>
  </si>
  <si>
    <t>非营运</t>
  </si>
  <si>
    <t>张红善</t>
  </si>
  <si>
    <t>晋DZ5343</t>
  </si>
  <si>
    <t>LB37724S0CX040162</t>
  </si>
  <si>
    <t>小型轿车</t>
  </si>
  <si>
    <t>CBX400408</t>
  </si>
  <si>
    <t>吉利牌</t>
  </si>
  <si>
    <t>JL7152K12</t>
  </si>
  <si>
    <t>山西省潞城市潞康小区法院</t>
  </si>
  <si>
    <t>AJ19-0027</t>
    <phoneticPr fontId="93" type="noConversion"/>
  </si>
  <si>
    <t>前驱</t>
    <phoneticPr fontId="93" type="noConversion"/>
  </si>
  <si>
    <t>-</t>
    <phoneticPr fontId="93" type="noConversion"/>
  </si>
  <si>
    <t>自然吸气</t>
    <phoneticPr fontId="93" type="noConversion"/>
  </si>
  <si>
    <t>闭环电喷</t>
    <phoneticPr fontId="93" type="noConversion"/>
  </si>
  <si>
    <t>汽油</t>
    <phoneticPr fontId="93" type="noConversion"/>
  </si>
  <si>
    <t>手动</t>
    <phoneticPr fontId="93" type="noConversion"/>
  </si>
</sst>
</file>

<file path=xl/styles.xml><?xml version="1.0" encoding="utf-8"?>
<styleSheet xmlns="http://schemas.openxmlformats.org/spreadsheetml/2006/main">
  <numFmts count="3">
    <numFmt numFmtId="176" formatCode="[$-F800]dddd\,\ mmmm\ dd\,\ yyyy"/>
    <numFmt numFmtId="177" formatCode="000000"/>
    <numFmt numFmtId="178" formatCode="yyyy&quot;年&quot;m&quot;月&quot;d&quot;日&quot;;@"/>
  </numFmts>
  <fonts count="94">
    <font>
      <sz val="11"/>
      <color theme="1"/>
      <name val="宋体"/>
      <charset val="134"/>
      <scheme val="minor"/>
    </font>
    <font>
      <sz val="18"/>
      <color theme="1"/>
      <name val="方正小标宋简体"/>
      <charset val="134"/>
    </font>
    <font>
      <sz val="12"/>
      <color theme="1"/>
      <name val="仿宋_GB2312"/>
      <charset val="134"/>
    </font>
    <font>
      <sz val="10.5"/>
      <color theme="1"/>
      <name val="仿宋_GB2312"/>
      <charset val="134"/>
    </font>
    <font>
      <sz val="10.5"/>
      <color theme="1"/>
      <name val="Times New Roman"/>
      <family val="1"/>
    </font>
    <font>
      <sz val="10.5"/>
      <name val="Times New Roman"/>
      <family val="1"/>
    </font>
    <font>
      <sz val="10.5"/>
      <color theme="1"/>
      <name val="黑体"/>
      <family val="3"/>
      <charset val="134"/>
    </font>
    <font>
      <u/>
      <sz val="10.5"/>
      <color theme="1"/>
      <name val="仿宋_GB2312"/>
      <charset val="134"/>
    </font>
    <font>
      <b/>
      <sz val="14"/>
      <color theme="1"/>
      <name val="楷体_GB2312"/>
      <charset val="134"/>
    </font>
    <font>
      <sz val="10.5"/>
      <color theme="1"/>
      <name val="宋体"/>
      <family val="3"/>
      <charset val="134"/>
      <scheme val="minor"/>
    </font>
    <font>
      <sz val="10.5"/>
      <color theme="1"/>
      <name val="宋体"/>
      <family val="3"/>
      <charset val="134"/>
    </font>
    <font>
      <sz val="22"/>
      <color theme="1"/>
      <name val="黑体"/>
      <family val="3"/>
      <charset val="134"/>
    </font>
    <font>
      <b/>
      <sz val="14"/>
      <color theme="1"/>
      <name val="仿宋_GB2312"/>
      <charset val="134"/>
    </font>
    <font>
      <sz val="14"/>
      <color theme="1"/>
      <name val="仿宋_GB2312"/>
      <charset val="134"/>
    </font>
    <font>
      <u/>
      <sz val="11"/>
      <color rgb="FF0000FF"/>
      <name val="宋体"/>
      <family val="3"/>
      <charset val="134"/>
      <scheme val="minor"/>
    </font>
    <font>
      <sz val="9"/>
      <color theme="1"/>
      <name val="宋体"/>
      <family val="3"/>
      <charset val="134"/>
      <scheme val="minor"/>
    </font>
    <font>
      <sz val="10"/>
      <color theme="1"/>
      <name val="宋体"/>
      <family val="3"/>
      <charset val="134"/>
      <scheme val="minor"/>
    </font>
    <font>
      <b/>
      <sz val="16"/>
      <color rgb="FF000000"/>
      <name val="方正小标宋简体"/>
      <charset val="134"/>
    </font>
    <font>
      <sz val="16"/>
      <color theme="1"/>
      <name val="宋体"/>
      <family val="3"/>
      <charset val="134"/>
      <scheme val="minor"/>
    </font>
    <font>
      <sz val="10"/>
      <color rgb="FF000000"/>
      <name val="仿宋_GB2312"/>
      <charset val="134"/>
    </font>
    <font>
      <sz val="9"/>
      <color rgb="FF000000"/>
      <name val="仿宋_GB2312"/>
      <charset val="134"/>
    </font>
    <font>
      <sz val="10"/>
      <color rgb="FF000000"/>
      <name val="Times New Roman"/>
      <family val="1"/>
    </font>
    <font>
      <sz val="9"/>
      <color rgb="FF000000"/>
      <name val="Times New Roman"/>
      <family val="1"/>
    </font>
    <font>
      <sz val="10"/>
      <color rgb="FF000000"/>
      <name val="宋体"/>
      <family val="3"/>
      <charset val="134"/>
    </font>
    <font>
      <sz val="10"/>
      <color theme="1"/>
      <name val="Times New Roman"/>
      <family val="1"/>
    </font>
    <font>
      <b/>
      <sz val="9"/>
      <color theme="0"/>
      <name val="宋体"/>
      <family val="3"/>
      <charset val="134"/>
    </font>
    <font>
      <sz val="10"/>
      <color rgb="FF000000"/>
      <name val="宋体"/>
      <family val="3"/>
      <charset val="134"/>
      <scheme val="minor"/>
    </font>
    <font>
      <sz val="14"/>
      <color rgb="FF000000"/>
      <name val="仿宋_GB2312"/>
      <charset val="134"/>
    </font>
    <font>
      <sz val="12"/>
      <color theme="1"/>
      <name val="微软雅黑"/>
      <family val="2"/>
      <charset val="134"/>
    </font>
    <font>
      <b/>
      <sz val="11"/>
      <color theme="1"/>
      <name val="微软雅黑"/>
      <family val="2"/>
      <charset val="134"/>
    </font>
    <font>
      <sz val="11"/>
      <color theme="1"/>
      <name val="微软雅黑"/>
      <family val="2"/>
      <charset val="134"/>
    </font>
    <font>
      <b/>
      <sz val="9"/>
      <name val="宋体"/>
      <family val="3"/>
      <charset val="134"/>
    </font>
    <font>
      <b/>
      <sz val="16"/>
      <color theme="1"/>
      <name val="微软雅黑"/>
      <family val="2"/>
      <charset val="134"/>
    </font>
    <font>
      <sz val="14"/>
      <color theme="1"/>
      <name val="微软雅黑"/>
      <family val="2"/>
      <charset val="134"/>
    </font>
    <font>
      <sz val="16"/>
      <color theme="1"/>
      <name val="仿宋_GB2312"/>
      <charset val="134"/>
    </font>
    <font>
      <sz val="10.5"/>
      <color theme="1"/>
      <name val="Calibri"/>
      <family val="2"/>
    </font>
    <font>
      <sz val="12"/>
      <color theme="1"/>
      <name val="宋体"/>
      <family val="3"/>
      <charset val="134"/>
      <scheme val="minor"/>
    </font>
    <font>
      <b/>
      <sz val="24"/>
      <color theme="1"/>
      <name val="宋体"/>
      <family val="3"/>
      <charset val="134"/>
      <scheme val="minor"/>
    </font>
    <font>
      <b/>
      <sz val="12"/>
      <color theme="1"/>
      <name val="宋体"/>
      <family val="3"/>
      <charset val="134"/>
      <scheme val="minor"/>
    </font>
    <font>
      <b/>
      <sz val="11"/>
      <color theme="1"/>
      <name val="宋体"/>
      <family val="3"/>
      <charset val="134"/>
      <scheme val="minor"/>
    </font>
    <font>
      <sz val="11"/>
      <color theme="1"/>
      <name val="Calibri"/>
      <family val="2"/>
    </font>
    <font>
      <b/>
      <sz val="14"/>
      <color theme="1"/>
      <name val="宋体"/>
      <family val="3"/>
      <charset val="134"/>
      <scheme val="minor"/>
    </font>
    <font>
      <b/>
      <sz val="9"/>
      <color theme="1"/>
      <name val="宋体"/>
      <family val="3"/>
      <charset val="134"/>
      <scheme val="minor"/>
    </font>
    <font>
      <b/>
      <sz val="11"/>
      <color theme="0" tint="-0.249977111117893"/>
      <name val="宋体"/>
      <family val="3"/>
      <charset val="134"/>
      <scheme val="minor"/>
    </font>
    <font>
      <b/>
      <sz val="8"/>
      <color theme="1"/>
      <name val="宋体"/>
      <family val="3"/>
      <charset val="134"/>
      <scheme val="minor"/>
    </font>
    <font>
      <sz val="9"/>
      <color theme="1"/>
      <name val="宋体"/>
      <family val="3"/>
      <charset val="134"/>
    </font>
    <font>
      <sz val="11"/>
      <color theme="1"/>
      <name val="宋体"/>
      <family val="3"/>
      <charset val="134"/>
    </font>
    <font>
      <sz val="18"/>
      <color theme="1"/>
      <name val="宋体"/>
      <family val="3"/>
      <charset val="134"/>
    </font>
    <font>
      <sz val="8"/>
      <color theme="1"/>
      <name val="宋体"/>
      <family val="3"/>
      <charset val="134"/>
    </font>
    <font>
      <b/>
      <sz val="11"/>
      <color theme="0"/>
      <name val="宋体"/>
      <family val="3"/>
      <charset val="134"/>
    </font>
    <font>
      <b/>
      <sz val="16"/>
      <color rgb="FF000000"/>
      <name val="宋体"/>
      <family val="3"/>
      <charset val="134"/>
      <scheme val="minor"/>
    </font>
    <font>
      <sz val="11"/>
      <color rgb="FF000000"/>
      <name val="宋体"/>
      <family val="3"/>
      <charset val="134"/>
      <scheme val="minor"/>
    </font>
    <font>
      <sz val="9"/>
      <color rgb="FF000000"/>
      <name val="宋体"/>
      <family val="3"/>
      <charset val="134"/>
      <scheme val="minor"/>
    </font>
    <font>
      <sz val="8"/>
      <color theme="1"/>
      <name val="宋体"/>
      <family val="3"/>
      <charset val="134"/>
      <scheme val="minor"/>
    </font>
    <font>
      <sz val="6"/>
      <color rgb="FF000000"/>
      <name val="宋体"/>
      <family val="3"/>
      <charset val="134"/>
      <scheme val="minor"/>
    </font>
    <font>
      <sz val="9"/>
      <color indexed="8"/>
      <name val="宋体"/>
      <family val="3"/>
      <charset val="134"/>
    </font>
    <font>
      <sz val="9"/>
      <color rgb="FF000000"/>
      <name val="宋体"/>
      <family val="3"/>
      <charset val="134"/>
    </font>
    <font>
      <sz val="11"/>
      <color theme="1"/>
      <name val="Numbers &amp; Pinyin"/>
      <charset val="2"/>
    </font>
    <font>
      <sz val="11"/>
      <color theme="1"/>
      <name val="MS Mincho"/>
      <family val="3"/>
      <charset val="128"/>
    </font>
    <font>
      <sz val="11"/>
      <color theme="1"/>
      <name val="Wingdings 2"/>
      <charset val="2"/>
    </font>
    <font>
      <b/>
      <sz val="20"/>
      <color rgb="FF000000"/>
      <name val="宋体"/>
      <family val="3"/>
      <charset val="134"/>
      <scheme val="minor"/>
    </font>
    <font>
      <b/>
      <sz val="14"/>
      <color rgb="FF000000"/>
      <name val="宋体"/>
      <family val="3"/>
      <charset val="134"/>
      <scheme val="minor"/>
    </font>
    <font>
      <b/>
      <sz val="11"/>
      <color rgb="FF000000"/>
      <name val="宋体"/>
      <family val="3"/>
      <charset val="134"/>
      <scheme val="minor"/>
    </font>
    <font>
      <b/>
      <sz val="12"/>
      <color rgb="FF000000"/>
      <name val="宋体"/>
      <family val="3"/>
      <charset val="134"/>
      <scheme val="minor"/>
    </font>
    <font>
      <sz val="12"/>
      <color rgb="FF000000"/>
      <name val="宋体"/>
      <family val="3"/>
      <charset val="134"/>
      <scheme val="minor"/>
    </font>
    <font>
      <sz val="11"/>
      <color rgb="FFFF0000"/>
      <name val="宋体"/>
      <family val="3"/>
      <charset val="134"/>
      <scheme val="minor"/>
    </font>
    <font>
      <b/>
      <sz val="36"/>
      <name val="黑体"/>
      <family val="3"/>
      <charset val="134"/>
    </font>
    <font>
      <sz val="18"/>
      <color theme="1"/>
      <name val="黑体"/>
      <family val="3"/>
      <charset val="134"/>
    </font>
    <font>
      <sz val="20"/>
      <color theme="1"/>
      <name val="黑体"/>
      <family val="3"/>
      <charset val="134"/>
    </font>
    <font>
      <b/>
      <sz val="14"/>
      <color rgb="FFFF0000"/>
      <name val="宋体"/>
      <family val="3"/>
      <charset val="134"/>
      <scheme val="minor"/>
    </font>
    <font>
      <sz val="12"/>
      <color rgb="FFFF0000"/>
      <name val="黑体"/>
      <family val="3"/>
      <charset val="134"/>
    </font>
    <font>
      <sz val="12"/>
      <name val="宋体"/>
      <family val="3"/>
      <charset val="134"/>
    </font>
    <font>
      <sz val="10.5"/>
      <color indexed="8"/>
      <name val="Times New Roman"/>
      <family val="1"/>
    </font>
    <font>
      <sz val="10.5"/>
      <color indexed="8"/>
      <name val="仿宋_GB2312"/>
      <charset val="134"/>
    </font>
    <font>
      <u/>
      <sz val="10.5"/>
      <color indexed="8"/>
      <name val="仿宋_GB2312"/>
      <charset val="134"/>
    </font>
    <font>
      <b/>
      <u/>
      <sz val="14"/>
      <color indexed="8"/>
      <name val="楷体_GB2312"/>
      <charset val="134"/>
    </font>
    <font>
      <b/>
      <sz val="14"/>
      <color indexed="8"/>
      <name val="楷体_GB2312"/>
      <charset val="134"/>
    </font>
    <font>
      <sz val="10.5"/>
      <color indexed="8"/>
      <name val="宋体"/>
      <family val="3"/>
      <charset val="134"/>
    </font>
    <font>
      <sz val="14"/>
      <color indexed="8"/>
      <name val="仿宋_GB2312"/>
      <charset val="134"/>
    </font>
    <font>
      <u/>
      <sz val="11"/>
      <color indexed="12"/>
      <name val="等线"/>
      <charset val="134"/>
    </font>
    <font>
      <sz val="9"/>
      <color indexed="8"/>
      <name val="Times New Roman"/>
      <family val="1"/>
    </font>
    <font>
      <sz val="9"/>
      <color indexed="8"/>
      <name val="仿宋_GB2312"/>
      <charset val="134"/>
    </font>
    <font>
      <vertAlign val="superscript"/>
      <sz val="9"/>
      <color indexed="8"/>
      <name val="Times New Roman"/>
      <family val="1"/>
    </font>
    <font>
      <sz val="10"/>
      <color indexed="8"/>
      <name val="Times New Roman"/>
      <family val="1"/>
    </font>
    <font>
      <sz val="10"/>
      <color indexed="8"/>
      <name val="仿宋_GB2312"/>
      <charset val="134"/>
    </font>
    <font>
      <sz val="10"/>
      <color indexed="8"/>
      <name val="宋体"/>
      <family val="3"/>
      <charset val="134"/>
    </font>
    <font>
      <u/>
      <sz val="12"/>
      <color theme="1"/>
      <name val="微软雅黑"/>
      <family val="2"/>
      <charset val="134"/>
    </font>
    <font>
      <b/>
      <sz val="8"/>
      <color indexed="8"/>
      <name val="宋体"/>
      <family val="3"/>
      <charset val="134"/>
    </font>
    <font>
      <vertAlign val="superscript"/>
      <sz val="8"/>
      <color theme="1"/>
      <name val="宋体"/>
      <family val="3"/>
      <charset val="134"/>
    </font>
    <font>
      <vertAlign val="superscript"/>
      <sz val="9"/>
      <color theme="1"/>
      <name val="宋体"/>
      <family val="3"/>
      <charset val="134"/>
    </font>
    <font>
      <sz val="11"/>
      <color rgb="FF000000"/>
      <name val="Wingdings"/>
      <charset val="2"/>
    </font>
    <font>
      <sz val="11"/>
      <color theme="1"/>
      <name val="宋体"/>
      <family val="3"/>
      <charset val="134"/>
      <scheme val="minor"/>
    </font>
    <font>
      <sz val="16"/>
      <color rgb="FF000000"/>
      <name val="宋体"/>
      <family val="3"/>
      <charset val="134"/>
      <scheme val="minor"/>
    </font>
    <font>
      <sz val="9"/>
      <name val="宋体"/>
      <family val="3"/>
      <charset val="134"/>
      <scheme val="minor"/>
    </font>
  </fonts>
  <fills count="7">
    <fill>
      <patternFill patternType="none"/>
    </fill>
    <fill>
      <patternFill patternType="gray125"/>
    </fill>
    <fill>
      <patternFill patternType="solid">
        <fgColor theme="0"/>
        <bgColor indexed="64"/>
      </patternFill>
    </fill>
    <fill>
      <patternFill patternType="solid">
        <fgColor theme="0" tint="-0.499984740745262"/>
        <bgColor indexed="64"/>
      </patternFill>
    </fill>
    <fill>
      <patternFill patternType="solid">
        <fgColor rgb="FFFFFF00"/>
        <bgColor indexed="64"/>
      </patternFill>
    </fill>
    <fill>
      <patternFill patternType="solid">
        <fgColor rgb="FF00B0F0"/>
        <bgColor indexed="64"/>
      </patternFill>
    </fill>
    <fill>
      <patternFill patternType="solid">
        <fgColor rgb="FF92D050"/>
        <bgColor indexed="64"/>
      </patternFill>
    </fill>
  </fills>
  <borders count="45">
    <border>
      <left/>
      <right/>
      <top/>
      <bottom/>
      <diagonal/>
    </border>
    <border>
      <left/>
      <right/>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medium">
        <color auto="1"/>
      </left>
      <right/>
      <top/>
      <bottom style="medium">
        <color auto="1"/>
      </bottom>
      <diagonal/>
    </border>
    <border>
      <left/>
      <right/>
      <top/>
      <bottom style="medium">
        <color auto="1"/>
      </bottom>
      <diagonal/>
    </border>
    <border>
      <left/>
      <right style="thin">
        <color auto="1"/>
      </right>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medium">
        <color auto="1"/>
      </left>
      <right style="thin">
        <color auto="1"/>
      </right>
      <top style="thin">
        <color auto="1"/>
      </top>
      <bottom style="thin">
        <color auto="1"/>
      </bottom>
      <diagonal/>
    </border>
    <border>
      <left style="thin">
        <color auto="1"/>
      </left>
      <right style="thin">
        <color auto="1"/>
      </right>
      <top/>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thin">
        <color auto="1"/>
      </top>
      <bottom style="medium">
        <color auto="1"/>
      </bottom>
      <diagonal/>
    </border>
    <border>
      <left style="medium">
        <color auto="1"/>
      </left>
      <right style="thin">
        <color auto="1"/>
      </right>
      <top style="thin">
        <color auto="1"/>
      </top>
      <bottom/>
      <diagonal/>
    </border>
    <border>
      <left style="medium">
        <color auto="1"/>
      </left>
      <right style="thin">
        <color auto="1"/>
      </right>
      <top/>
      <bottom/>
      <diagonal/>
    </border>
    <border>
      <left style="medium">
        <color auto="1"/>
      </left>
      <right style="thin">
        <color auto="1"/>
      </right>
      <top/>
      <bottom style="medium">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top/>
      <bottom style="thin">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style="thin">
        <color rgb="FF000000"/>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rgb="FF000000"/>
      </left>
      <right style="thin">
        <color rgb="FF000000"/>
      </right>
      <top/>
      <bottom style="thin">
        <color rgb="FF000000"/>
      </bottom>
      <diagonal/>
    </border>
    <border>
      <left/>
      <right style="thin">
        <color rgb="FF000000"/>
      </right>
      <top style="thin">
        <color rgb="FF000000"/>
      </top>
      <bottom style="thin">
        <color rgb="FF000000"/>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right style="thin">
        <color rgb="FF000000"/>
      </right>
      <top/>
      <bottom style="thin">
        <color rgb="FF000000"/>
      </bottom>
      <diagonal/>
    </border>
  </borders>
  <cellStyleXfs count="5">
    <xf numFmtId="0" fontId="0" fillId="0" borderId="0">
      <alignment vertical="center"/>
    </xf>
    <xf numFmtId="0" fontId="14" fillId="0" borderId="0" applyNumberFormat="0" applyFill="0" applyBorder="0" applyAlignment="0" applyProtection="0">
      <alignment vertical="center"/>
    </xf>
    <xf numFmtId="0" fontId="91" fillId="0" borderId="0">
      <alignment vertical="center"/>
    </xf>
    <xf numFmtId="0" fontId="71" fillId="0" borderId="0">
      <alignment vertical="center"/>
    </xf>
    <xf numFmtId="0" fontId="91" fillId="0" borderId="0"/>
  </cellStyleXfs>
  <cellXfs count="372">
    <xf numFmtId="0" fontId="0" fillId="0" borderId="0" xfId="0">
      <alignment vertical="center"/>
    </xf>
    <xf numFmtId="0" fontId="91" fillId="0" borderId="0" xfId="2">
      <alignment vertical="center"/>
    </xf>
    <xf numFmtId="0" fontId="2" fillId="0" borderId="0" xfId="2" applyFont="1" applyAlignment="1">
      <alignment vertical="center" wrapText="1"/>
    </xf>
    <xf numFmtId="0" fontId="0" fillId="0" borderId="0" xfId="2" applyFont="1" applyAlignment="1">
      <alignment vertical="center"/>
    </xf>
    <xf numFmtId="0" fontId="3" fillId="0" borderId="2" xfId="2" applyFont="1" applyBorder="1" applyAlignment="1">
      <alignment horizontal="center" vertical="center" wrapText="1"/>
    </xf>
    <xf numFmtId="0" fontId="4" fillId="2" borderId="2" xfId="2" applyFont="1" applyFill="1" applyBorder="1" applyAlignment="1">
      <alignment horizontal="center" vertical="center" wrapText="1"/>
    </xf>
    <xf numFmtId="0" fontId="3" fillId="2" borderId="2" xfId="2" applyFont="1" applyFill="1" applyBorder="1" applyAlignment="1">
      <alignment horizontal="center" vertical="center" wrapText="1"/>
    </xf>
    <xf numFmtId="0" fontId="5" fillId="2" borderId="2" xfId="2" applyFont="1" applyFill="1" applyBorder="1" applyAlignment="1">
      <alignment horizontal="center" vertical="center" wrapText="1"/>
    </xf>
    <xf numFmtId="0" fontId="3" fillId="2" borderId="2" xfId="2" applyFont="1" applyFill="1" applyBorder="1" applyAlignment="1">
      <alignment horizontal="right" vertical="center" wrapText="1"/>
    </xf>
    <xf numFmtId="0" fontId="4" fillId="2" borderId="2" xfId="2" applyFont="1" applyFill="1" applyBorder="1" applyAlignment="1">
      <alignment horizontal="justify" vertical="center" wrapText="1"/>
    </xf>
    <xf numFmtId="0" fontId="6" fillId="0" borderId="2" xfId="2" applyFont="1" applyBorder="1" applyAlignment="1">
      <alignment horizontal="center" vertical="center" wrapText="1"/>
    </xf>
    <xf numFmtId="0" fontId="91" fillId="0" borderId="5" xfId="2" applyBorder="1">
      <alignment vertical="center"/>
    </xf>
    <xf numFmtId="0" fontId="3" fillId="0" borderId="6" xfId="2" applyFont="1" applyBorder="1" applyAlignment="1">
      <alignment vertical="center" wrapText="1"/>
    </xf>
    <xf numFmtId="178" fontId="9" fillId="0" borderId="6" xfId="2" applyNumberFormat="1" applyFont="1" applyBorder="1" applyAlignment="1">
      <alignment horizontal="center" vertical="center" wrapText="1"/>
    </xf>
    <xf numFmtId="0" fontId="3" fillId="0" borderId="7" xfId="2" applyFont="1" applyBorder="1" applyAlignment="1">
      <alignment vertical="center" wrapText="1"/>
    </xf>
    <xf numFmtId="0" fontId="12" fillId="0" borderId="0" xfId="2" applyFont="1" applyAlignment="1">
      <alignment horizontal="left" vertical="center" indent="2"/>
    </xf>
    <xf numFmtId="0" fontId="13" fillId="0" borderId="0" xfId="2" applyFont="1" applyAlignment="1">
      <alignment horizontal="left" vertical="center" indent="2"/>
    </xf>
    <xf numFmtId="0" fontId="15" fillId="0" borderId="0" xfId="0" applyFont="1">
      <alignment vertical="center"/>
    </xf>
    <xf numFmtId="0" fontId="16" fillId="0" borderId="0" xfId="0" applyFont="1" applyAlignment="1">
      <alignment vertical="center" wrapText="1"/>
    </xf>
    <xf numFmtId="0" fontId="20" fillId="0" borderId="9" xfId="2" applyFont="1" applyBorder="1" applyAlignment="1">
      <alignment horizontal="center" vertical="center" wrapText="1"/>
    </xf>
    <xf numFmtId="0" fontId="22" fillId="2" borderId="9" xfId="2" applyFont="1" applyFill="1" applyBorder="1" applyAlignment="1">
      <alignment horizontal="center" vertical="center" wrapText="1"/>
    </xf>
    <xf numFmtId="0" fontId="19" fillId="0" borderId="10" xfId="2" applyFont="1" applyBorder="1" applyAlignment="1">
      <alignment horizontal="center" vertical="center" wrapText="1"/>
    </xf>
    <xf numFmtId="0" fontId="20" fillId="0" borderId="2" xfId="2" applyFont="1" applyBorder="1" applyAlignment="1">
      <alignment horizontal="center" vertical="center" wrapText="1"/>
    </xf>
    <xf numFmtId="0" fontId="22" fillId="2" borderId="2" xfId="2" applyFont="1" applyFill="1" applyBorder="1" applyAlignment="1">
      <alignment horizontal="center" vertical="center" wrapText="1"/>
    </xf>
    <xf numFmtId="0" fontId="22" fillId="2" borderId="2" xfId="2" applyNumberFormat="1" applyFont="1" applyFill="1" applyBorder="1" applyAlignment="1">
      <alignment horizontal="center" vertical="center" wrapText="1"/>
    </xf>
    <xf numFmtId="0" fontId="20" fillId="0" borderId="2" xfId="2" applyFont="1" applyBorder="1" applyAlignment="1">
      <alignment horizontal="left" vertical="center" wrapText="1"/>
    </xf>
    <xf numFmtId="0" fontId="20" fillId="2" borderId="2" xfId="2" applyFont="1" applyFill="1" applyBorder="1" applyAlignment="1">
      <alignment horizontal="center" vertical="center" wrapText="1"/>
    </xf>
    <xf numFmtId="0" fontId="23" fillId="0" borderId="10" xfId="2" applyFont="1" applyBorder="1" applyAlignment="1">
      <alignment horizontal="center" vertical="center" wrapText="1"/>
    </xf>
    <xf numFmtId="0" fontId="24" fillId="0" borderId="0" xfId="2" applyFont="1" applyAlignment="1">
      <alignment vertical="center" wrapText="1"/>
    </xf>
    <xf numFmtId="0" fontId="19" fillId="0" borderId="0" xfId="2" applyFont="1" applyAlignment="1">
      <alignment horizontal="center" vertical="center" wrapText="1"/>
    </xf>
    <xf numFmtId="0" fontId="16" fillId="0" borderId="0" xfId="2" applyFont="1" applyAlignment="1">
      <alignment vertical="center" wrapText="1"/>
    </xf>
    <xf numFmtId="0" fontId="22" fillId="2" borderId="14" xfId="2" applyFont="1" applyFill="1" applyBorder="1" applyAlignment="1">
      <alignment horizontal="center" vertical="center" wrapText="1"/>
    </xf>
    <xf numFmtId="0" fontId="22" fillId="2" borderId="15" xfId="2" applyFont="1" applyFill="1" applyBorder="1" applyAlignment="1">
      <alignment horizontal="center" vertical="center" wrapText="1"/>
    </xf>
    <xf numFmtId="0" fontId="20" fillId="0" borderId="15" xfId="2" applyFont="1" applyBorder="1" applyAlignment="1">
      <alignment horizontal="center" vertical="center" wrapText="1"/>
    </xf>
    <xf numFmtId="0" fontId="25" fillId="0" borderId="0" xfId="3" applyFont="1" applyFill="1" applyBorder="1" applyAlignment="1">
      <alignment horizontal="center" vertical="center" wrapText="1"/>
    </xf>
    <xf numFmtId="0" fontId="16" fillId="0" borderId="0" xfId="2" applyFont="1">
      <alignment vertical="center"/>
    </xf>
    <xf numFmtId="0" fontId="15" fillId="0" borderId="0" xfId="2" applyFont="1">
      <alignment vertical="center"/>
    </xf>
    <xf numFmtId="0" fontId="21" fillId="0" borderId="2" xfId="2" applyFont="1" applyBorder="1" applyAlignment="1">
      <alignment horizontal="center" vertical="center" wrapText="1"/>
    </xf>
    <xf numFmtId="0" fontId="19" fillId="0" borderId="2" xfId="2" applyFont="1" applyBorder="1" applyAlignment="1">
      <alignment horizontal="center" vertical="center" wrapText="1"/>
    </xf>
    <xf numFmtId="0" fontId="20" fillId="0" borderId="2" xfId="2" applyFont="1" applyBorder="1" applyAlignment="1">
      <alignment horizontal="right" vertical="center" wrapText="1"/>
    </xf>
    <xf numFmtId="0" fontId="20" fillId="0" borderId="10" xfId="2" applyFont="1" applyBorder="1" applyAlignment="1">
      <alignment horizontal="center" vertical="center" wrapText="1"/>
    </xf>
    <xf numFmtId="0" fontId="27" fillId="0" borderId="0" xfId="2" applyFont="1" applyAlignment="1">
      <alignment horizontal="left" vertical="center"/>
    </xf>
    <xf numFmtId="0" fontId="20" fillId="0" borderId="15" xfId="2" applyFont="1" applyBorder="1" applyAlignment="1">
      <alignment horizontal="right" vertical="center" wrapText="1"/>
    </xf>
    <xf numFmtId="0" fontId="22" fillId="0" borderId="15" xfId="2" applyFont="1" applyBorder="1" applyAlignment="1">
      <alignment horizontal="center" vertical="center" wrapText="1"/>
    </xf>
    <xf numFmtId="0" fontId="20" fillId="0" borderId="15" xfId="2" applyFont="1" applyBorder="1" applyAlignment="1">
      <alignment horizontal="right" vertical="center" wrapText="1" indent="1"/>
    </xf>
    <xf numFmtId="0" fontId="20" fillId="0" borderId="15" xfId="2" applyFont="1" applyBorder="1" applyAlignment="1">
      <alignment horizontal="left" vertical="center" wrapText="1" indent="1"/>
    </xf>
    <xf numFmtId="0" fontId="11" fillId="0" borderId="0" xfId="0" applyFont="1" applyAlignment="1">
      <alignment horizontal="center" vertical="center"/>
    </xf>
    <xf numFmtId="0" fontId="28" fillId="0" borderId="0" xfId="0" applyFont="1" applyAlignment="1">
      <alignment horizontal="justify" vertical="center"/>
    </xf>
    <xf numFmtId="0" fontId="30" fillId="0" borderId="0" xfId="0" applyFont="1">
      <alignment vertical="center"/>
    </xf>
    <xf numFmtId="0" fontId="29" fillId="0" borderId="0" xfId="0" applyFont="1" applyAlignment="1">
      <alignment horizontal="center" vertical="center"/>
    </xf>
    <xf numFmtId="177" fontId="31" fillId="0" borderId="0" xfId="3" applyNumberFormat="1" applyFont="1" applyFill="1" applyBorder="1" applyAlignment="1">
      <alignment horizontal="center" vertical="center" wrapText="1"/>
    </xf>
    <xf numFmtId="0" fontId="0" fillId="3" borderId="0" xfId="0" applyFill="1" applyAlignment="1">
      <alignment horizontal="center" vertical="center"/>
    </xf>
    <xf numFmtId="0" fontId="0" fillId="3" borderId="0" xfId="0" applyFill="1" applyAlignment="1">
      <alignment vertical="center" shrinkToFit="1"/>
    </xf>
    <xf numFmtId="0" fontId="0" fillId="0" borderId="0" xfId="0" applyBorder="1" applyAlignment="1">
      <alignment horizontal="left" vertical="center"/>
    </xf>
    <xf numFmtId="0" fontId="0" fillId="0" borderId="0" xfId="0" applyAlignment="1">
      <alignment horizontal="center" vertical="center"/>
    </xf>
    <xf numFmtId="0" fontId="0" fillId="0" borderId="0" xfId="0" applyAlignment="1">
      <alignment vertical="center" shrinkToFit="1"/>
    </xf>
    <xf numFmtId="0" fontId="32" fillId="0" borderId="2" xfId="0" applyFont="1" applyBorder="1" applyAlignment="1">
      <alignment horizontal="center" vertical="center" wrapText="1"/>
    </xf>
    <xf numFmtId="0" fontId="33" fillId="0" borderId="2" xfId="0" applyFont="1" applyBorder="1" applyAlignment="1">
      <alignment horizontal="center" vertical="center" wrapText="1"/>
    </xf>
    <xf numFmtId="0" fontId="13" fillId="0" borderId="2" xfId="0" applyFont="1" applyBorder="1" applyAlignment="1">
      <alignment horizontal="center" vertical="center" wrapText="1"/>
    </xf>
    <xf numFmtId="0" fontId="24" fillId="0" borderId="0" xfId="0" applyFont="1" applyAlignment="1">
      <alignment vertical="center" wrapText="1"/>
    </xf>
    <xf numFmtId="0" fontId="3" fillId="0" borderId="0" xfId="0" applyFont="1" applyAlignment="1">
      <alignment horizontal="justify" vertical="center"/>
    </xf>
    <xf numFmtId="0" fontId="34" fillId="0" borderId="0" xfId="0" applyFont="1" applyAlignment="1">
      <alignment horizontal="justify" vertical="center"/>
    </xf>
    <xf numFmtId="0" fontId="35" fillId="0" borderId="0" xfId="0" applyFont="1" applyAlignment="1">
      <alignment horizontal="justify" vertical="center"/>
    </xf>
    <xf numFmtId="0" fontId="36" fillId="0" borderId="0" xfId="0" applyFont="1" applyFill="1">
      <alignment vertical="center"/>
    </xf>
    <xf numFmtId="0" fontId="0" fillId="0" borderId="0" xfId="0" applyFill="1" applyAlignment="1">
      <alignment horizontal="center" vertical="center"/>
    </xf>
    <xf numFmtId="0" fontId="0" fillId="0" borderId="0" xfId="0" applyFill="1">
      <alignment vertical="center"/>
    </xf>
    <xf numFmtId="0" fontId="36" fillId="0" borderId="1" xfId="0" applyFont="1" applyFill="1" applyBorder="1" applyAlignment="1">
      <alignment horizontal="center" vertical="center"/>
    </xf>
    <xf numFmtId="0" fontId="36" fillId="0" borderId="1" xfId="0" applyFont="1" applyFill="1" applyBorder="1" applyAlignment="1">
      <alignment horizontal="right" vertical="center"/>
    </xf>
    <xf numFmtId="0" fontId="38" fillId="0" borderId="2" xfId="0" applyFont="1" applyFill="1" applyBorder="1" applyAlignment="1">
      <alignment horizontal="center" vertical="center"/>
    </xf>
    <xf numFmtId="0" fontId="0" fillId="0" borderId="2" xfId="0" applyFont="1" applyFill="1" applyBorder="1" applyAlignment="1">
      <alignment horizontal="center" vertical="center"/>
    </xf>
    <xf numFmtId="0" fontId="0" fillId="0" borderId="2" xfId="0" applyFont="1" applyFill="1" applyBorder="1">
      <alignment vertical="center"/>
    </xf>
    <xf numFmtId="0" fontId="0" fillId="0" borderId="2" xfId="0" applyFont="1" applyFill="1" applyBorder="1" applyAlignment="1">
      <alignment horizontal="center" vertical="center" wrapText="1"/>
    </xf>
    <xf numFmtId="0" fontId="36" fillId="0" borderId="0" xfId="0" applyFont="1" applyFill="1" applyAlignment="1">
      <alignment horizontal="center" vertical="center"/>
    </xf>
    <xf numFmtId="0" fontId="0" fillId="0" borderId="0" xfId="0" applyFont="1" applyFill="1">
      <alignment vertical="center"/>
    </xf>
    <xf numFmtId="0" fontId="40" fillId="0" borderId="0" xfId="0" applyFont="1" applyFill="1">
      <alignment vertical="center"/>
    </xf>
    <xf numFmtId="0" fontId="39" fillId="0" borderId="2" xfId="0" applyFont="1" applyFill="1" applyBorder="1" applyAlignment="1">
      <alignment horizontal="center" vertical="center"/>
    </xf>
    <xf numFmtId="0" fontId="42" fillId="0" borderId="2" xfId="0" applyFont="1" applyFill="1" applyBorder="1" applyAlignment="1">
      <alignment horizontal="center" vertical="center"/>
    </xf>
    <xf numFmtId="0" fontId="39" fillId="0" borderId="2" xfId="0" applyFont="1" applyFill="1" applyBorder="1">
      <alignment vertical="center"/>
    </xf>
    <xf numFmtId="0" fontId="42" fillId="0" borderId="2" xfId="0" applyFont="1" applyFill="1" applyBorder="1" applyAlignment="1">
      <alignment horizontal="center" vertical="center" wrapText="1"/>
    </xf>
    <xf numFmtId="0" fontId="0" fillId="0" borderId="0" xfId="0" applyFont="1" applyFill="1" applyAlignment="1">
      <alignment horizontal="center" vertical="center"/>
    </xf>
    <xf numFmtId="0" fontId="39" fillId="0" borderId="0" xfId="2" applyFont="1" applyAlignment="1">
      <alignment horizontal="center" vertical="center"/>
    </xf>
    <xf numFmtId="0" fontId="39" fillId="0" borderId="0" xfId="2" applyFont="1">
      <alignment vertical="center"/>
    </xf>
    <xf numFmtId="0" fontId="25" fillId="4" borderId="0" xfId="3" applyFont="1" applyFill="1" applyBorder="1" applyAlignment="1">
      <alignment horizontal="center" vertical="center" wrapText="1"/>
    </xf>
    <xf numFmtId="0" fontId="45" fillId="0" borderId="0" xfId="4" applyFont="1"/>
    <xf numFmtId="0" fontId="45" fillId="0" borderId="0" xfId="4" applyFont="1" applyAlignment="1">
      <alignment vertical="center"/>
    </xf>
    <xf numFmtId="0" fontId="46" fillId="0" borderId="0" xfId="4" applyFont="1" applyAlignment="1">
      <alignment horizontal="center" vertical="center"/>
    </xf>
    <xf numFmtId="0" fontId="46" fillId="0" borderId="0" xfId="4" applyFont="1"/>
    <xf numFmtId="0" fontId="45" fillId="0" borderId="1" xfId="4" applyFont="1" applyBorder="1" applyAlignment="1">
      <alignment horizontal="left"/>
    </xf>
    <xf numFmtId="0" fontId="45" fillId="0" borderId="1" xfId="4" applyFont="1" applyBorder="1" applyAlignment="1">
      <alignment horizontal="center"/>
    </xf>
    <xf numFmtId="0" fontId="45" fillId="0" borderId="2" xfId="4" applyFont="1" applyBorder="1" applyAlignment="1">
      <alignment horizontal="center" vertical="center"/>
    </xf>
    <xf numFmtId="0" fontId="45" fillId="0" borderId="0" xfId="4" applyFont="1" applyAlignment="1">
      <alignment horizontal="center" vertical="center"/>
    </xf>
    <xf numFmtId="0" fontId="49" fillId="0" borderId="0" xfId="4" applyFont="1"/>
    <xf numFmtId="0" fontId="52" fillId="0" borderId="34" xfId="0" applyFont="1" applyBorder="1" applyAlignment="1">
      <alignment horizontal="right" vertical="center" wrapText="1"/>
    </xf>
    <xf numFmtId="0" fontId="52" fillId="0" borderId="30" xfId="0" applyFont="1" applyBorder="1" applyAlignment="1">
      <alignment horizontal="right" vertical="center" wrapText="1"/>
    </xf>
    <xf numFmtId="0" fontId="51" fillId="0" borderId="36" xfId="0" applyFont="1" applyBorder="1" applyAlignment="1">
      <alignment horizontal="center" vertical="center" wrapText="1"/>
    </xf>
    <xf numFmtId="0" fontId="52" fillId="0" borderId="36" xfId="0" applyFont="1" applyBorder="1" applyAlignment="1">
      <alignment horizontal="center" vertical="center" wrapText="1"/>
    </xf>
    <xf numFmtId="0" fontId="51" fillId="0" borderId="30" xfId="0" applyFont="1" applyBorder="1" applyAlignment="1">
      <alignment horizontal="right" wrapText="1"/>
    </xf>
    <xf numFmtId="0" fontId="52" fillId="0" borderId="34" xfId="0" applyFont="1" applyBorder="1" applyAlignment="1">
      <alignment vertical="center" wrapText="1"/>
    </xf>
    <xf numFmtId="0" fontId="52" fillId="0" borderId="34" xfId="0" applyFont="1" applyBorder="1" applyAlignment="1">
      <alignment horizontal="center" vertical="center" wrapText="1"/>
    </xf>
    <xf numFmtId="0" fontId="52" fillId="0" borderId="41" xfId="0" applyFont="1" applyBorder="1" applyAlignment="1">
      <alignment horizontal="left" vertical="center" wrapText="1"/>
    </xf>
    <xf numFmtId="58" fontId="0" fillId="0" borderId="0" xfId="0" applyNumberFormat="1">
      <alignment vertical="center"/>
    </xf>
    <xf numFmtId="0" fontId="0" fillId="0" borderId="0" xfId="0" applyFont="1">
      <alignment vertical="center"/>
    </xf>
    <xf numFmtId="14" fontId="0" fillId="0" borderId="0" xfId="0" applyNumberFormat="1">
      <alignment vertical="center"/>
    </xf>
    <xf numFmtId="0" fontId="51" fillId="0" borderId="36" xfId="0" applyFont="1" applyBorder="1" applyAlignment="1">
      <alignment vertical="center" wrapText="1"/>
    </xf>
    <xf numFmtId="0" fontId="57" fillId="0" borderId="0" xfId="0" applyFont="1">
      <alignment vertical="center"/>
    </xf>
    <xf numFmtId="0" fontId="46" fillId="0" borderId="0" xfId="0" applyFont="1">
      <alignment vertical="center"/>
    </xf>
    <xf numFmtId="0" fontId="58" fillId="0" borderId="0" xfId="0" applyFont="1">
      <alignment vertical="center"/>
    </xf>
    <xf numFmtId="0" fontId="59" fillId="0" borderId="0" xfId="0" applyFont="1">
      <alignment vertical="center"/>
    </xf>
    <xf numFmtId="0" fontId="51" fillId="0" borderId="41" xfId="0" applyFont="1" applyBorder="1" applyAlignment="1">
      <alignment horizontal="center" vertical="center" wrapText="1"/>
    </xf>
    <xf numFmtId="0" fontId="51" fillId="0" borderId="42" xfId="0" applyFont="1" applyBorder="1" applyAlignment="1">
      <alignment horizontal="center" vertical="center" wrapText="1"/>
    </xf>
    <xf numFmtId="0" fontId="51" fillId="0" borderId="34" xfId="0" applyFont="1" applyBorder="1" applyAlignment="1">
      <alignment horizontal="center" vertical="center" wrapText="1"/>
    </xf>
    <xf numFmtId="0" fontId="51" fillId="0" borderId="35" xfId="0" applyFont="1" applyBorder="1" applyAlignment="1">
      <alignment vertical="center" wrapText="1"/>
    </xf>
    <xf numFmtId="0" fontId="51" fillId="0" borderId="30" xfId="0" applyFont="1" applyBorder="1" applyAlignment="1">
      <alignment vertical="center" wrapText="1"/>
    </xf>
    <xf numFmtId="0" fontId="63" fillId="0" borderId="30" xfId="0" applyFont="1" applyBorder="1" applyAlignment="1">
      <alignment horizontal="right" wrapText="1"/>
    </xf>
    <xf numFmtId="0" fontId="64" fillId="0" borderId="30" xfId="0" applyFont="1" applyBorder="1" applyAlignment="1">
      <alignment horizontal="left" wrapText="1"/>
    </xf>
    <xf numFmtId="22" fontId="15" fillId="0" borderId="0" xfId="0" applyNumberFormat="1" applyFont="1">
      <alignment vertical="center"/>
    </xf>
    <xf numFmtId="0" fontId="91" fillId="0" borderId="0" xfId="2" applyAlignment="1">
      <alignment horizontal="center" vertical="center"/>
    </xf>
    <xf numFmtId="177" fontId="39" fillId="0" borderId="0" xfId="2" applyNumberFormat="1" applyFont="1" applyAlignment="1">
      <alignment horizontal="center" vertical="center"/>
    </xf>
    <xf numFmtId="0" fontId="0" fillId="0" borderId="0" xfId="0" applyNumberFormat="1">
      <alignment vertical="center"/>
    </xf>
    <xf numFmtId="49" fontId="0" fillId="0" borderId="0" xfId="0" applyNumberFormat="1">
      <alignment vertical="center"/>
    </xf>
    <xf numFmtId="0" fontId="65" fillId="2" borderId="0" xfId="0" applyFont="1" applyFill="1" applyAlignment="1">
      <alignment vertical="top"/>
    </xf>
    <xf numFmtId="0" fontId="0" fillId="2" borderId="0" xfId="0" applyFill="1">
      <alignment vertical="center"/>
    </xf>
    <xf numFmtId="0" fontId="67" fillId="6" borderId="2" xfId="0" applyFont="1" applyFill="1" applyBorder="1" applyAlignment="1">
      <alignment horizontal="center" vertical="center"/>
    </xf>
    <xf numFmtId="0" fontId="67" fillId="4" borderId="2" xfId="0" applyFont="1" applyFill="1" applyBorder="1" applyAlignment="1">
      <alignment horizontal="center" vertical="center"/>
    </xf>
    <xf numFmtId="0" fontId="39" fillId="2" borderId="0" xfId="0" applyFont="1" applyFill="1" applyAlignment="1">
      <alignment horizontal="center" vertical="center"/>
    </xf>
    <xf numFmtId="0" fontId="69" fillId="2" borderId="0" xfId="0" applyFont="1" applyFill="1" applyAlignment="1">
      <alignment horizontal="center" vertical="center"/>
    </xf>
    <xf numFmtId="0" fontId="69" fillId="2" borderId="0" xfId="0" applyFont="1" applyFill="1" applyAlignment="1">
      <alignment horizontal="left" vertical="center"/>
    </xf>
    <xf numFmtId="0" fontId="67" fillId="6" borderId="4" xfId="0" applyFont="1" applyFill="1" applyBorder="1" applyAlignment="1">
      <alignment horizontal="center" vertical="center"/>
    </xf>
    <xf numFmtId="0" fontId="67" fillId="5" borderId="2" xfId="0" applyFont="1" applyFill="1" applyBorder="1" applyAlignment="1">
      <alignment vertical="center"/>
    </xf>
    <xf numFmtId="0" fontId="70" fillId="2" borderId="0" xfId="0" applyFont="1" applyFill="1" applyAlignment="1">
      <alignment vertical="top"/>
    </xf>
    <xf numFmtId="0" fontId="0" fillId="2" borderId="0" xfId="0" applyFill="1" applyAlignment="1">
      <alignment horizontal="center" vertical="center"/>
    </xf>
    <xf numFmtId="0" fontId="45" fillId="2" borderId="2" xfId="4" applyFont="1" applyFill="1" applyBorder="1" applyAlignment="1">
      <alignment horizontal="center" vertical="center"/>
    </xf>
    <xf numFmtId="0" fontId="48" fillId="2" borderId="2" xfId="4" applyFont="1" applyFill="1" applyBorder="1" applyAlignment="1">
      <alignment horizontal="center" vertical="center"/>
    </xf>
    <xf numFmtId="0" fontId="45" fillId="2" borderId="29" xfId="4" applyFont="1" applyFill="1" applyBorder="1" applyAlignment="1">
      <alignment horizontal="left" vertical="center"/>
    </xf>
    <xf numFmtId="0" fontId="45" fillId="2" borderId="2" xfId="4" applyNumberFormat="1" applyFont="1" applyFill="1" applyBorder="1" applyAlignment="1">
      <alignment horizontal="center" vertical="center"/>
    </xf>
    <xf numFmtId="0" fontId="45" fillId="2" borderId="2" xfId="4" applyFont="1" applyFill="1" applyBorder="1" applyAlignment="1">
      <alignment horizontal="center" vertical="center" shrinkToFit="1"/>
    </xf>
    <xf numFmtId="0" fontId="45" fillId="2" borderId="2" xfId="4" applyFont="1" applyFill="1" applyBorder="1" applyAlignment="1">
      <alignment horizontal="center" vertical="center"/>
    </xf>
    <xf numFmtId="0" fontId="67" fillId="5" borderId="2" xfId="0" applyFont="1" applyFill="1" applyBorder="1" applyAlignment="1">
      <alignment horizontal="center" vertical="center"/>
    </xf>
    <xf numFmtId="0" fontId="67" fillId="6" borderId="2" xfId="0" applyFont="1" applyFill="1" applyBorder="1" applyAlignment="1">
      <alignment horizontal="center" vertical="center"/>
    </xf>
    <xf numFmtId="0" fontId="67" fillId="6" borderId="3" xfId="0" applyFont="1" applyFill="1" applyBorder="1" applyAlignment="1">
      <alignment horizontal="center" vertical="center"/>
    </xf>
    <xf numFmtId="0" fontId="67" fillId="6" borderId="4" xfId="0" applyFont="1" applyFill="1" applyBorder="1" applyAlignment="1">
      <alignment horizontal="center" vertical="center"/>
    </xf>
    <xf numFmtId="0" fontId="68" fillId="4" borderId="3" xfId="0" applyFont="1" applyFill="1" applyBorder="1" applyAlignment="1">
      <alignment horizontal="center" vertical="center" wrapText="1"/>
    </xf>
    <xf numFmtId="0" fontId="67" fillId="4" borderId="11" xfId="0" applyFont="1" applyFill="1" applyBorder="1" applyAlignment="1">
      <alignment horizontal="center" vertical="center"/>
    </xf>
    <xf numFmtId="0" fontId="67" fillId="4" borderId="4" xfId="0" applyFont="1" applyFill="1" applyBorder="1" applyAlignment="1">
      <alignment horizontal="center" vertical="center"/>
    </xf>
    <xf numFmtId="0" fontId="67" fillId="4" borderId="3" xfId="0" applyFont="1" applyFill="1" applyBorder="1" applyAlignment="1">
      <alignment horizontal="center" vertical="center"/>
    </xf>
    <xf numFmtId="0" fontId="66" fillId="5" borderId="1" xfId="0" applyFont="1" applyFill="1" applyBorder="1" applyAlignment="1">
      <alignment horizontal="center" vertical="center" wrapText="1"/>
    </xf>
    <xf numFmtId="0" fontId="66" fillId="5" borderId="1" xfId="0" applyFont="1" applyFill="1" applyBorder="1" applyAlignment="1">
      <alignment horizontal="center" vertical="center"/>
    </xf>
    <xf numFmtId="0" fontId="41" fillId="2" borderId="23" xfId="0" applyFont="1" applyFill="1" applyBorder="1" applyAlignment="1">
      <alignment horizontal="center" vertical="center"/>
    </xf>
    <xf numFmtId="0" fontId="41" fillId="2" borderId="0" xfId="0" applyFont="1" applyFill="1" applyAlignment="1">
      <alignment horizontal="center" vertical="center"/>
    </xf>
    <xf numFmtId="0" fontId="60" fillId="0" borderId="30" xfId="0" applyFont="1" applyBorder="1" applyAlignment="1">
      <alignment horizontal="center" vertical="center" wrapText="1"/>
    </xf>
    <xf numFmtId="0" fontId="50" fillId="0" borderId="31" xfId="0" applyFont="1" applyBorder="1" applyAlignment="1">
      <alignment horizontal="center" vertical="center" wrapText="1"/>
    </xf>
    <xf numFmtId="0" fontId="50" fillId="0" borderId="32" xfId="0" applyFont="1" applyBorder="1" applyAlignment="1">
      <alignment horizontal="center" vertical="center" wrapText="1"/>
    </xf>
    <xf numFmtId="0" fontId="50" fillId="0" borderId="40" xfId="0" applyFont="1" applyBorder="1" applyAlignment="1">
      <alignment horizontal="center" vertical="center" wrapText="1"/>
    </xf>
    <xf numFmtId="0" fontId="51" fillId="0" borderId="31" xfId="0" applyFont="1" applyBorder="1" applyAlignment="1">
      <alignment horizontal="center" vertical="center" wrapText="1"/>
    </xf>
    <xf numFmtId="0" fontId="51" fillId="0" borderId="40" xfId="0" applyFont="1" applyBorder="1" applyAlignment="1">
      <alignment horizontal="center" vertical="center" wrapText="1"/>
    </xf>
    <xf numFmtId="0" fontId="51" fillId="0" borderId="32" xfId="0" applyFont="1" applyBorder="1" applyAlignment="1">
      <alignment horizontal="center" vertical="center" wrapText="1"/>
    </xf>
    <xf numFmtId="177" fontId="51" fillId="0" borderId="31" xfId="0" applyNumberFormat="1" applyFont="1" applyBorder="1" applyAlignment="1">
      <alignment horizontal="center" vertical="center" wrapText="1"/>
    </xf>
    <xf numFmtId="177" fontId="51" fillId="0" borderId="40" xfId="0" applyNumberFormat="1" applyFont="1" applyBorder="1" applyAlignment="1">
      <alignment horizontal="center" vertical="center" wrapText="1"/>
    </xf>
    <xf numFmtId="0" fontId="51" fillId="0" borderId="33" xfId="0" applyFont="1" applyBorder="1" applyAlignment="1">
      <alignment horizontal="center" vertical="center" wrapText="1"/>
    </xf>
    <xf numFmtId="0" fontId="51" fillId="0" borderId="41" xfId="0" applyFont="1" applyBorder="1" applyAlignment="1">
      <alignment horizontal="center" vertical="center" wrapText="1"/>
    </xf>
    <xf numFmtId="0" fontId="51" fillId="0" borderId="42" xfId="0" applyFont="1" applyBorder="1" applyAlignment="1">
      <alignment horizontal="center" vertical="center" wrapText="1"/>
    </xf>
    <xf numFmtId="0" fontId="51" fillId="0" borderId="43" xfId="0" applyFont="1" applyBorder="1" applyAlignment="1">
      <alignment horizontal="center" vertical="center" wrapText="1"/>
    </xf>
    <xf numFmtId="0" fontId="51" fillId="0" borderId="35" xfId="0" applyFont="1" applyBorder="1" applyAlignment="1">
      <alignment horizontal="center" vertical="center" wrapText="1"/>
    </xf>
    <xf numFmtId="0" fontId="51" fillId="0" borderId="44" xfId="0" applyFont="1" applyBorder="1" applyAlignment="1">
      <alignment horizontal="center" vertical="center" wrapText="1"/>
    </xf>
    <xf numFmtId="0" fontId="51" fillId="0" borderId="31" xfId="0" quotePrefix="1" applyFont="1" applyBorder="1" applyAlignment="1">
      <alignment horizontal="center" vertical="center" wrapText="1"/>
    </xf>
    <xf numFmtId="0" fontId="61" fillId="0" borderId="31" xfId="0" applyFont="1" applyBorder="1" applyAlignment="1">
      <alignment horizontal="center" vertical="center" wrapText="1"/>
    </xf>
    <xf numFmtId="0" fontId="61" fillId="0" borderId="32" xfId="0" applyFont="1" applyBorder="1" applyAlignment="1">
      <alignment horizontal="center" vertical="center" wrapText="1"/>
    </xf>
    <xf numFmtId="0" fontId="61" fillId="0" borderId="40" xfId="0" applyFont="1" applyBorder="1" applyAlignment="1">
      <alignment horizontal="center" vertical="center" wrapText="1"/>
    </xf>
    <xf numFmtId="0" fontId="51" fillId="0" borderId="31" xfId="0" applyFont="1" applyBorder="1" applyAlignment="1">
      <alignment horizontal="left" vertical="center" wrapText="1"/>
    </xf>
    <xf numFmtId="0" fontId="51" fillId="0" borderId="32" xfId="0" applyFont="1" applyBorder="1" applyAlignment="1">
      <alignment horizontal="left" vertical="center" wrapText="1"/>
    </xf>
    <xf numFmtId="0" fontId="51" fillId="0" borderId="40" xfId="0" applyFont="1" applyBorder="1" applyAlignment="1">
      <alignment horizontal="left" vertical="center" wrapText="1"/>
    </xf>
    <xf numFmtId="0" fontId="63" fillId="0" borderId="33" xfId="0" applyFont="1" applyBorder="1" applyAlignment="1">
      <alignment horizontal="left" vertical="top" wrapText="1"/>
    </xf>
    <xf numFmtId="0" fontId="63" fillId="0" borderId="34" xfId="0" applyFont="1" applyBorder="1" applyAlignment="1">
      <alignment horizontal="left" vertical="top" wrapText="1"/>
    </xf>
    <xf numFmtId="0" fontId="63" fillId="0" borderId="41" xfId="0" applyFont="1" applyBorder="1" applyAlignment="1">
      <alignment horizontal="left" vertical="top" wrapText="1"/>
    </xf>
    <xf numFmtId="178" fontId="61" fillId="0" borderId="30" xfId="0" applyNumberFormat="1" applyFont="1" applyBorder="1" applyAlignment="1">
      <alignment horizontal="center" vertical="center" wrapText="1"/>
    </xf>
    <xf numFmtId="178" fontId="61" fillId="0" borderId="44" xfId="0" applyNumberFormat="1" applyFont="1" applyBorder="1" applyAlignment="1">
      <alignment horizontal="center" vertical="center" wrapText="1"/>
    </xf>
    <xf numFmtId="0" fontId="51" fillId="0" borderId="37" xfId="0" applyFont="1" applyBorder="1" applyAlignment="1">
      <alignment horizontal="center" vertical="center" wrapText="1"/>
    </xf>
    <xf numFmtId="0" fontId="51" fillId="0" borderId="39" xfId="0" applyFont="1" applyBorder="1" applyAlignment="1">
      <alignment horizontal="center" vertical="center" wrapText="1"/>
    </xf>
    <xf numFmtId="0" fontId="51" fillId="0" borderId="38" xfId="0" applyFont="1" applyBorder="1" applyAlignment="1">
      <alignment horizontal="center" vertical="center" wrapText="1"/>
    </xf>
    <xf numFmtId="0" fontId="62" fillId="0" borderId="33" xfId="0" applyFont="1" applyBorder="1" applyAlignment="1">
      <alignment horizontal="center" vertical="center" wrapText="1"/>
    </xf>
    <xf numFmtId="0" fontId="62" fillId="0" borderId="34" xfId="0" applyFont="1" applyBorder="1" applyAlignment="1">
      <alignment horizontal="center" vertical="center" wrapText="1"/>
    </xf>
    <xf numFmtId="0" fontId="62" fillId="0" borderId="41" xfId="0" applyFont="1" applyBorder="1" applyAlignment="1">
      <alignment horizontal="center" vertical="center" wrapText="1"/>
    </xf>
    <xf numFmtId="0" fontId="62" fillId="0" borderId="35" xfId="0" applyFont="1" applyBorder="1" applyAlignment="1">
      <alignment horizontal="center" vertical="center" wrapText="1"/>
    </xf>
    <xf numFmtId="0" fontId="62" fillId="0" borderId="30" xfId="0" applyFont="1" applyBorder="1" applyAlignment="1">
      <alignment horizontal="center" vertical="center" wrapText="1"/>
    </xf>
    <xf numFmtId="0" fontId="62" fillId="0" borderId="44" xfId="0" applyFont="1" applyBorder="1" applyAlignment="1">
      <alignment horizontal="center" vertical="center" wrapText="1"/>
    </xf>
    <xf numFmtId="0" fontId="50" fillId="0" borderId="30" xfId="0" applyFont="1" applyBorder="1" applyAlignment="1">
      <alignment vertical="center" wrapText="1"/>
    </xf>
    <xf numFmtId="0" fontId="26" fillId="0" borderId="30" xfId="0" applyFont="1" applyBorder="1" applyAlignment="1">
      <alignment horizontal="left" wrapText="1"/>
    </xf>
    <xf numFmtId="0" fontId="52" fillId="0" borderId="33" xfId="0" applyFont="1" applyBorder="1" applyAlignment="1">
      <alignment horizontal="left" vertical="center" wrapText="1"/>
    </xf>
    <xf numFmtId="0" fontId="52" fillId="0" borderId="34" xfId="0" applyFont="1" applyBorder="1" applyAlignment="1">
      <alignment horizontal="left" vertical="center" wrapText="1"/>
    </xf>
    <xf numFmtId="0" fontId="52" fillId="0" borderId="34" xfId="0" applyFont="1" applyBorder="1" applyAlignment="1">
      <alignment horizontal="right" vertical="center" wrapText="1"/>
    </xf>
    <xf numFmtId="0" fontId="52" fillId="0" borderId="34" xfId="0" applyFont="1" applyBorder="1" applyAlignment="1">
      <alignment horizontal="center" vertical="center" wrapText="1"/>
    </xf>
    <xf numFmtId="0" fontId="15" fillId="0" borderId="35" xfId="0" applyFont="1" applyBorder="1" applyAlignment="1">
      <alignment horizontal="left" vertical="center"/>
    </xf>
    <xf numFmtId="0" fontId="15" fillId="0" borderId="30" xfId="0" applyFont="1" applyBorder="1" applyAlignment="1">
      <alignment horizontal="left" vertical="center"/>
    </xf>
    <xf numFmtId="14" fontId="53" fillId="0" borderId="30" xfId="0" applyNumberFormat="1" applyFont="1" applyBorder="1" applyAlignment="1">
      <alignment horizontal="center" vertical="center"/>
    </xf>
    <xf numFmtId="0" fontId="52" fillId="0" borderId="30" xfId="0" applyFont="1" applyBorder="1" applyAlignment="1">
      <alignment horizontal="right" vertical="center" wrapText="1"/>
    </xf>
    <xf numFmtId="14" fontId="52" fillId="0" borderId="30" xfId="0" applyNumberFormat="1" applyFont="1" applyBorder="1" applyAlignment="1">
      <alignment horizontal="center" vertical="center" wrapText="1"/>
    </xf>
    <xf numFmtId="0" fontId="52" fillId="0" borderId="30" xfId="0" applyFont="1" applyBorder="1" applyAlignment="1">
      <alignment horizontal="center" vertical="center" wrapText="1"/>
    </xf>
    <xf numFmtId="14" fontId="52" fillId="0" borderId="30" xfId="0" applyNumberFormat="1" applyFont="1" applyBorder="1" applyAlignment="1">
      <alignment horizontal="left" vertical="center" wrapText="1"/>
    </xf>
    <xf numFmtId="14" fontId="52" fillId="0" borderId="44" xfId="0" applyNumberFormat="1" applyFont="1" applyBorder="1" applyAlignment="1">
      <alignment horizontal="left" vertical="center" wrapText="1"/>
    </xf>
    <xf numFmtId="0" fontId="52" fillId="0" borderId="0" xfId="0" applyFont="1" applyBorder="1" applyAlignment="1">
      <alignment horizontal="center" vertical="center" wrapText="1"/>
    </xf>
    <xf numFmtId="0" fontId="52" fillId="0" borderId="31" xfId="0" applyFont="1" applyBorder="1" applyAlignment="1">
      <alignment horizontal="left" vertical="center" wrapText="1"/>
    </xf>
    <xf numFmtId="0" fontId="52" fillId="0" borderId="32" xfId="0" applyFont="1" applyBorder="1" applyAlignment="1">
      <alignment horizontal="left" vertical="center" wrapText="1"/>
    </xf>
    <xf numFmtId="0" fontId="52" fillId="0" borderId="40" xfId="0" applyFont="1" applyBorder="1" applyAlignment="1">
      <alignment horizontal="left" vertical="center" wrapText="1"/>
    </xf>
    <xf numFmtId="0" fontId="54" fillId="0" borderId="31" xfId="0" applyFont="1" applyBorder="1" applyAlignment="1">
      <alignment horizontal="center" vertical="center" wrapText="1"/>
    </xf>
    <xf numFmtId="0" fontId="54" fillId="0" borderId="40" xfId="0" applyFont="1" applyBorder="1" applyAlignment="1">
      <alignment horizontal="center" vertical="center" wrapText="1"/>
    </xf>
    <xf numFmtId="0" fontId="55" fillId="0" borderId="31" xfId="0" applyFont="1" applyBorder="1" applyAlignment="1">
      <alignment horizontal="left" vertical="center" wrapText="1"/>
    </xf>
    <xf numFmtId="0" fontId="55" fillId="0" borderId="32" xfId="0" applyFont="1" applyBorder="1" applyAlignment="1">
      <alignment horizontal="left" vertical="center" wrapText="1"/>
    </xf>
    <xf numFmtId="0" fontId="52" fillId="0" borderId="37" xfId="0" applyFont="1" applyBorder="1" applyAlignment="1">
      <alignment horizontal="center" vertical="center" wrapText="1"/>
    </xf>
    <xf numFmtId="0" fontId="52" fillId="0" borderId="38" xfId="0" applyFont="1" applyBorder="1" applyAlignment="1">
      <alignment horizontal="center" vertical="center" wrapText="1"/>
    </xf>
    <xf numFmtId="0" fontId="52" fillId="0" borderId="39" xfId="0" applyFont="1" applyBorder="1" applyAlignment="1">
      <alignment horizontal="center" vertical="center" wrapText="1"/>
    </xf>
    <xf numFmtId="0" fontId="52" fillId="0" borderId="31" xfId="0" applyFont="1" applyBorder="1" applyAlignment="1">
      <alignment horizontal="center" vertical="center" wrapText="1"/>
    </xf>
    <xf numFmtId="0" fontId="52" fillId="0" borderId="40" xfId="0" applyFont="1" applyBorder="1" applyAlignment="1">
      <alignment horizontal="center" vertical="center" wrapText="1"/>
    </xf>
    <xf numFmtId="0" fontId="52" fillId="0" borderId="32" xfId="0" applyFont="1" applyBorder="1" applyAlignment="1">
      <alignment horizontal="center" vertical="center" wrapText="1"/>
    </xf>
    <xf numFmtId="0" fontId="56" fillId="0" borderId="32" xfId="0" applyFont="1" applyBorder="1" applyAlignment="1">
      <alignment horizontal="left" vertical="center" wrapText="1"/>
    </xf>
    <xf numFmtId="0" fontId="52" fillId="0" borderId="32" xfId="0" applyFont="1" applyBorder="1" applyAlignment="1">
      <alignment horizontal="right" vertical="center" wrapText="1"/>
    </xf>
    <xf numFmtId="0" fontId="52" fillId="0" borderId="41" xfId="0" applyFont="1" applyBorder="1" applyAlignment="1">
      <alignment horizontal="left" vertical="center" wrapText="1"/>
    </xf>
    <xf numFmtId="0" fontId="52" fillId="0" borderId="35" xfId="0" applyFont="1" applyBorder="1" applyAlignment="1">
      <alignment horizontal="center" vertical="center" wrapText="1"/>
    </xf>
    <xf numFmtId="0" fontId="52" fillId="0" borderId="44" xfId="0" applyFont="1" applyBorder="1" applyAlignment="1">
      <alignment horizontal="center" vertical="center" wrapText="1"/>
    </xf>
    <xf numFmtId="0" fontId="52" fillId="0" borderId="31" xfId="0" applyFont="1" applyBorder="1" applyAlignment="1">
      <alignment vertical="top" wrapText="1"/>
    </xf>
    <xf numFmtId="0" fontId="52" fillId="0" borderId="32" xfId="0" applyFont="1" applyBorder="1" applyAlignment="1">
      <alignment vertical="top" wrapText="1"/>
    </xf>
    <xf numFmtId="0" fontId="52" fillId="0" borderId="40" xfId="0" applyFont="1" applyBorder="1" applyAlignment="1">
      <alignment vertical="top" wrapText="1"/>
    </xf>
    <xf numFmtId="0" fontId="52" fillId="2" borderId="33" xfId="0" applyFont="1" applyFill="1" applyBorder="1" applyAlignment="1">
      <alignment horizontal="left" vertical="top" wrapText="1"/>
    </xf>
    <xf numFmtId="0" fontId="52" fillId="2" borderId="34" xfId="0" applyFont="1" applyFill="1" applyBorder="1" applyAlignment="1">
      <alignment horizontal="left" vertical="top" wrapText="1"/>
    </xf>
    <xf numFmtId="0" fontId="52" fillId="2" borderId="41" xfId="0" applyFont="1" applyFill="1" applyBorder="1" applyAlignment="1">
      <alignment horizontal="left" vertical="top" wrapText="1"/>
    </xf>
    <xf numFmtId="0" fontId="52" fillId="2" borderId="42" xfId="0" applyFont="1" applyFill="1" applyBorder="1" applyAlignment="1">
      <alignment horizontal="left" vertical="top" wrapText="1"/>
    </xf>
    <xf numFmtId="0" fontId="52" fillId="2" borderId="0" xfId="0" applyFont="1" applyFill="1" applyBorder="1" applyAlignment="1">
      <alignment horizontal="left" vertical="top" wrapText="1"/>
    </xf>
    <xf numFmtId="0" fontId="52" fillId="2" borderId="43" xfId="0" applyFont="1" applyFill="1" applyBorder="1" applyAlignment="1">
      <alignment horizontal="left" vertical="top" wrapText="1"/>
    </xf>
    <xf numFmtId="0" fontId="52" fillId="2" borderId="35" xfId="0" applyFont="1" applyFill="1" applyBorder="1" applyAlignment="1">
      <alignment horizontal="left" vertical="top" wrapText="1"/>
    </xf>
    <xf numFmtId="0" fontId="52" fillId="2" borderId="30" xfId="0" applyFont="1" applyFill="1" applyBorder="1" applyAlignment="1">
      <alignment horizontal="left" vertical="top" wrapText="1"/>
    </xf>
    <xf numFmtId="0" fontId="52" fillId="2" borderId="44" xfId="0" applyFont="1" applyFill="1" applyBorder="1" applyAlignment="1">
      <alignment horizontal="left" vertical="top" wrapText="1"/>
    </xf>
    <xf numFmtId="0" fontId="47" fillId="0" borderId="0" xfId="4" applyFont="1" applyAlignment="1">
      <alignment horizontal="center" vertical="top"/>
    </xf>
    <xf numFmtId="176" fontId="45" fillId="0" borderId="1" xfId="4" applyNumberFormat="1" applyFont="1" applyBorder="1" applyAlignment="1">
      <alignment horizontal="center"/>
    </xf>
    <xf numFmtId="0" fontId="45" fillId="0" borderId="1" xfId="4" applyFont="1" applyBorder="1" applyAlignment="1">
      <alignment horizontal="right"/>
    </xf>
    <xf numFmtId="0" fontId="45" fillId="0" borderId="2" xfId="4" applyFont="1" applyBorder="1" applyAlignment="1">
      <alignment horizontal="left" vertical="center"/>
    </xf>
    <xf numFmtId="0" fontId="45" fillId="2" borderId="2" xfId="4" applyFont="1" applyFill="1" applyBorder="1" applyAlignment="1">
      <alignment horizontal="center" vertical="center"/>
    </xf>
    <xf numFmtId="0" fontId="45" fillId="2" borderId="27" xfId="4" applyFont="1" applyFill="1" applyBorder="1" applyAlignment="1">
      <alignment horizontal="center" vertical="center"/>
    </xf>
    <xf numFmtId="0" fontId="45" fillId="2" borderId="29" xfId="4" applyFont="1" applyFill="1" applyBorder="1" applyAlignment="1">
      <alignment horizontal="center" vertical="center"/>
    </xf>
    <xf numFmtId="176" fontId="45" fillId="2" borderId="2" xfId="4" applyNumberFormat="1" applyFont="1" applyFill="1" applyBorder="1" applyAlignment="1">
      <alignment horizontal="center" vertical="center"/>
    </xf>
    <xf numFmtId="0" fontId="45" fillId="2" borderId="2" xfId="4" applyFont="1" applyFill="1" applyBorder="1" applyAlignment="1">
      <alignment horizontal="left" vertical="center"/>
    </xf>
    <xf numFmtId="0" fontId="45" fillId="0" borderId="2" xfId="4" applyFont="1" applyBorder="1" applyAlignment="1">
      <alignment horizontal="center" vertical="center"/>
    </xf>
    <xf numFmtId="0" fontId="45" fillId="0" borderId="27" xfId="4" applyFont="1" applyBorder="1" applyAlignment="1">
      <alignment horizontal="center" vertical="center"/>
    </xf>
    <xf numFmtId="0" fontId="45" fillId="0" borderId="29" xfId="4" applyFont="1" applyBorder="1" applyAlignment="1">
      <alignment horizontal="center" vertical="center"/>
    </xf>
    <xf numFmtId="0" fontId="48" fillId="0" borderId="2" xfId="4" applyFont="1" applyBorder="1" applyAlignment="1">
      <alignment horizontal="left" vertical="center" wrapText="1"/>
    </xf>
    <xf numFmtId="0" fontId="41" fillId="0" borderId="0" xfId="0" applyFont="1" applyFill="1" applyAlignment="1">
      <alignment horizontal="center" vertical="center"/>
    </xf>
    <xf numFmtId="0" fontId="39" fillId="0" borderId="1" xfId="0" applyFont="1" applyFill="1" applyBorder="1" applyAlignment="1">
      <alignment horizontal="center" vertical="center"/>
    </xf>
    <xf numFmtId="0" fontId="39" fillId="0" borderId="1" xfId="0" applyFont="1" applyFill="1" applyBorder="1" applyAlignment="1">
      <alignment horizontal="left" vertical="center"/>
    </xf>
    <xf numFmtId="0" fontId="39" fillId="0" borderId="2" xfId="0" applyFont="1" applyFill="1" applyBorder="1" applyAlignment="1">
      <alignment horizontal="center" vertical="center"/>
    </xf>
    <xf numFmtId="0" fontId="39" fillId="0" borderId="27" xfId="0" applyFont="1" applyFill="1" applyBorder="1" applyAlignment="1">
      <alignment horizontal="center" vertical="center"/>
    </xf>
    <xf numFmtId="0" fontId="39" fillId="0" borderId="29" xfId="0" applyFont="1" applyFill="1" applyBorder="1" applyAlignment="1">
      <alignment horizontal="center" vertical="center"/>
    </xf>
    <xf numFmtId="0" fontId="42" fillId="0" borderId="2" xfId="0" applyFont="1" applyFill="1" applyBorder="1" applyAlignment="1">
      <alignment horizontal="left" vertical="center"/>
    </xf>
    <xf numFmtId="0" fontId="42" fillId="0" borderId="2" xfId="0" applyFont="1" applyFill="1" applyBorder="1" applyAlignment="1">
      <alignment horizontal="left" vertical="center" wrapText="1"/>
    </xf>
    <xf numFmtId="0" fontId="43" fillId="0" borderId="27" xfId="0" applyFont="1" applyFill="1" applyBorder="1" applyAlignment="1">
      <alignment horizontal="center" vertical="center"/>
    </xf>
    <xf numFmtId="0" fontId="43" fillId="0" borderId="29" xfId="0" applyFont="1" applyFill="1" applyBorder="1" applyAlignment="1">
      <alignment horizontal="center" vertical="center"/>
    </xf>
    <xf numFmtId="0" fontId="39" fillId="0" borderId="2" xfId="0" applyFont="1" applyFill="1" applyBorder="1" applyAlignment="1">
      <alignment horizontal="left" vertical="center" wrapText="1"/>
    </xf>
    <xf numFmtId="0" fontId="44" fillId="0" borderId="0" xfId="0" applyFont="1" applyFill="1" applyAlignment="1">
      <alignment horizontal="left" vertical="center"/>
    </xf>
    <xf numFmtId="0" fontId="39" fillId="0" borderId="2" xfId="0" applyFont="1" applyFill="1" applyBorder="1" applyAlignment="1">
      <alignment horizontal="center" vertical="center" wrapText="1"/>
    </xf>
    <xf numFmtId="0" fontId="0" fillId="0" borderId="2" xfId="0" applyFill="1" applyBorder="1" applyAlignment="1">
      <alignment horizontal="center" vertical="center"/>
    </xf>
    <xf numFmtId="0" fontId="39" fillId="0" borderId="20" xfId="0" applyFont="1" applyFill="1" applyBorder="1" applyAlignment="1">
      <alignment horizontal="center" vertical="center"/>
    </xf>
    <xf numFmtId="0" fontId="39" fillId="0" borderId="21" xfId="0" applyFont="1" applyFill="1" applyBorder="1" applyAlignment="1">
      <alignment horizontal="center" vertical="center"/>
    </xf>
    <xf numFmtId="0" fontId="39" fillId="0" borderId="22" xfId="0" applyFont="1" applyFill="1" applyBorder="1" applyAlignment="1">
      <alignment horizontal="center" vertical="center"/>
    </xf>
    <xf numFmtId="178" fontId="38" fillId="0" borderId="25" xfId="0" applyNumberFormat="1" applyFont="1" applyFill="1" applyBorder="1" applyAlignment="1">
      <alignment horizontal="center" vertical="center"/>
    </xf>
    <xf numFmtId="178" fontId="38" fillId="0" borderId="1" xfId="0" applyNumberFormat="1" applyFont="1" applyFill="1" applyBorder="1" applyAlignment="1">
      <alignment horizontal="center" vertical="center"/>
    </xf>
    <xf numFmtId="178" fontId="38" fillId="0" borderId="26" xfId="0" applyNumberFormat="1" applyFont="1" applyFill="1" applyBorder="1" applyAlignment="1">
      <alignment horizontal="center" vertical="center"/>
    </xf>
    <xf numFmtId="0" fontId="44" fillId="0" borderId="21" xfId="0" applyFont="1" applyFill="1" applyBorder="1" applyAlignment="1">
      <alignment horizontal="left" vertical="center"/>
    </xf>
    <xf numFmtId="0" fontId="37" fillId="0" borderId="0" xfId="0" applyFont="1" applyFill="1" applyAlignment="1">
      <alignment horizontal="center" vertical="top"/>
    </xf>
    <xf numFmtId="0" fontId="36" fillId="0" borderId="1" xfId="0" applyFont="1" applyFill="1" applyBorder="1" applyAlignment="1">
      <alignment horizontal="center" vertical="center"/>
    </xf>
    <xf numFmtId="178" fontId="36" fillId="0" borderId="1" xfId="0" applyNumberFormat="1" applyFont="1" applyFill="1" applyBorder="1" applyAlignment="1">
      <alignment horizontal="center" vertical="center"/>
    </xf>
    <xf numFmtId="0" fontId="38" fillId="0" borderId="2" xfId="0" applyFont="1" applyFill="1" applyBorder="1" applyAlignment="1">
      <alignment horizontal="center" vertical="center"/>
    </xf>
    <xf numFmtId="0" fontId="38" fillId="0" borderId="27" xfId="0" applyFont="1" applyFill="1" applyBorder="1" applyAlignment="1">
      <alignment horizontal="center" vertical="center"/>
    </xf>
    <xf numFmtId="0" fontId="38" fillId="0" borderId="29" xfId="0" applyFont="1" applyFill="1" applyBorder="1" applyAlignment="1">
      <alignment horizontal="center" vertical="center"/>
    </xf>
    <xf numFmtId="0" fontId="0" fillId="0" borderId="2" xfId="0" applyFont="1" applyFill="1" applyBorder="1" applyAlignment="1">
      <alignment horizontal="left" vertical="center"/>
    </xf>
    <xf numFmtId="0" fontId="0" fillId="0" borderId="27" xfId="0" applyFont="1" applyFill="1" applyBorder="1" applyAlignment="1">
      <alignment horizontal="center" vertical="center"/>
    </xf>
    <xf numFmtId="0" fontId="0" fillId="0" borderId="29" xfId="0" applyFont="1" applyFill="1" applyBorder="1" applyAlignment="1">
      <alignment horizontal="center" vertical="center"/>
    </xf>
    <xf numFmtId="0" fontId="0" fillId="0" borderId="2" xfId="0" applyFont="1" applyFill="1" applyBorder="1" applyAlignment="1">
      <alignment horizontal="left" vertical="center" wrapText="1"/>
    </xf>
    <xf numFmtId="0" fontId="39" fillId="0" borderId="3" xfId="0" applyFont="1" applyFill="1" applyBorder="1" applyAlignment="1">
      <alignment horizontal="center" vertical="center"/>
    </xf>
    <xf numFmtId="0" fontId="39" fillId="0" borderId="4" xfId="0" applyFont="1" applyFill="1" applyBorder="1" applyAlignment="1">
      <alignment horizontal="center" vertical="center"/>
    </xf>
    <xf numFmtId="0" fontId="39" fillId="0" borderId="20" xfId="0" applyFont="1" applyFill="1" applyBorder="1" applyAlignment="1">
      <alignment horizontal="center" vertical="center" wrapText="1"/>
    </xf>
    <xf numFmtId="0" fontId="39" fillId="0" borderId="21" xfId="0" applyFont="1" applyFill="1" applyBorder="1" applyAlignment="1">
      <alignment horizontal="center" vertical="center" wrapText="1"/>
    </xf>
    <xf numFmtId="0" fontId="39" fillId="0" borderId="22" xfId="0" applyFont="1" applyFill="1" applyBorder="1" applyAlignment="1">
      <alignment horizontal="center" vertical="center" wrapText="1"/>
    </xf>
    <xf numFmtId="0" fontId="39" fillId="0" borderId="25" xfId="0" applyFont="1" applyFill="1" applyBorder="1" applyAlignment="1">
      <alignment horizontal="center" vertical="center" wrapText="1"/>
    </xf>
    <xf numFmtId="0" fontId="39" fillId="0" borderId="1" xfId="0" applyFont="1" applyFill="1" applyBorder="1" applyAlignment="1">
      <alignment horizontal="center" vertical="center" wrapText="1"/>
    </xf>
    <xf numFmtId="0" fontId="39" fillId="0" borderId="26" xfId="0" applyFont="1" applyFill="1" applyBorder="1" applyAlignment="1">
      <alignment horizontal="center" vertical="center" wrapText="1"/>
    </xf>
    <xf numFmtId="0" fontId="11" fillId="0" borderId="0" xfId="0" applyFont="1" applyAlignment="1">
      <alignment horizontal="center" vertical="center"/>
    </xf>
    <xf numFmtId="0" fontId="29" fillId="0" borderId="0" xfId="0" applyFont="1" applyBorder="1" applyAlignment="1">
      <alignment horizontal="center" vertical="center"/>
    </xf>
    <xf numFmtId="0" fontId="0" fillId="3" borderId="0" xfId="0" applyFill="1" applyBorder="1" applyAlignment="1">
      <alignment horizontal="center" vertical="center"/>
    </xf>
    <xf numFmtId="0" fontId="32" fillId="0" borderId="2" xfId="0" applyFont="1" applyBorder="1" applyAlignment="1">
      <alignment horizontal="center" vertical="center" wrapText="1"/>
    </xf>
    <xf numFmtId="0" fontId="33" fillId="0" borderId="2" xfId="0" applyFont="1" applyBorder="1" applyAlignment="1">
      <alignment horizontal="justify" vertical="center" wrapText="1"/>
    </xf>
    <xf numFmtId="0" fontId="28" fillId="0" borderId="27" xfId="0" applyFont="1" applyBorder="1" applyAlignment="1">
      <alignment horizontal="justify" vertical="center" wrapText="1"/>
    </xf>
    <xf numFmtId="0" fontId="28" fillId="0" borderId="28" xfId="0" applyFont="1" applyBorder="1" applyAlignment="1">
      <alignment horizontal="justify" vertical="center" wrapText="1"/>
    </xf>
    <xf numFmtId="0" fontId="28" fillId="0" borderId="29" xfId="0" applyFont="1" applyBorder="1" applyAlignment="1">
      <alignment horizontal="justify" vertical="center" wrapText="1"/>
    </xf>
    <xf numFmtId="0" fontId="33" fillId="0" borderId="2" xfId="0" applyFont="1" applyBorder="1" applyAlignment="1">
      <alignment horizontal="center" vertical="center" wrapText="1"/>
    </xf>
    <xf numFmtId="0" fontId="33" fillId="0" borderId="3" xfId="0" applyFont="1" applyBorder="1" applyAlignment="1">
      <alignment horizontal="left" vertical="distributed" wrapText="1"/>
    </xf>
    <xf numFmtId="0" fontId="33" fillId="0" borderId="2" xfId="0" applyFont="1" applyBorder="1" applyAlignment="1">
      <alignment vertical="center" wrapText="1"/>
    </xf>
    <xf numFmtId="0" fontId="33" fillId="0" borderId="20" xfId="0" applyFont="1" applyBorder="1" applyAlignment="1">
      <alignment horizontal="justify" vertical="center" wrapText="1"/>
    </xf>
    <xf numFmtId="0" fontId="33" fillId="0" borderId="21" xfId="0" applyFont="1" applyBorder="1" applyAlignment="1">
      <alignment horizontal="justify" vertical="center" wrapText="1"/>
    </xf>
    <xf numFmtId="0" fontId="33" fillId="0" borderId="22" xfId="0" applyFont="1" applyBorder="1" applyAlignment="1">
      <alignment horizontal="justify" vertical="center" wrapText="1"/>
    </xf>
    <xf numFmtId="0" fontId="13" fillId="0" borderId="23" xfId="0" applyFont="1" applyBorder="1" applyAlignment="1">
      <alignment horizontal="right" vertical="center" wrapText="1" indent="1"/>
    </xf>
    <xf numFmtId="0" fontId="13" fillId="0" borderId="0" xfId="0" applyFont="1" applyBorder="1" applyAlignment="1">
      <alignment horizontal="right" vertical="center" wrapText="1" indent="1"/>
    </xf>
    <xf numFmtId="0" fontId="13" fillId="0" borderId="24" xfId="0" applyFont="1" applyBorder="1" applyAlignment="1">
      <alignment horizontal="right" vertical="center" wrapText="1" indent="1"/>
    </xf>
    <xf numFmtId="0" fontId="0" fillId="0" borderId="25" xfId="0" applyBorder="1" applyAlignment="1">
      <alignment horizontal="center" vertical="center"/>
    </xf>
    <xf numFmtId="0" fontId="0" fillId="0" borderId="1" xfId="0" applyBorder="1" applyAlignment="1">
      <alignment horizontal="center" vertical="center"/>
    </xf>
    <xf numFmtId="178" fontId="33" fillId="0" borderId="1" xfId="0" applyNumberFormat="1" applyFont="1" applyBorder="1" applyAlignment="1">
      <alignment horizontal="center" vertical="center" wrapText="1"/>
    </xf>
    <xf numFmtId="178" fontId="33" fillId="0" borderId="26" xfId="0" applyNumberFormat="1" applyFont="1" applyBorder="1" applyAlignment="1">
      <alignment horizontal="center" vertical="center" wrapText="1"/>
    </xf>
    <xf numFmtId="0" fontId="17" fillId="0" borderId="0" xfId="2" applyFont="1" applyAlignment="1">
      <alignment horizontal="center" vertical="center" wrapText="1"/>
    </xf>
    <xf numFmtId="0" fontId="18" fillId="0" borderId="0" xfId="2" applyFont="1" applyAlignment="1">
      <alignment vertical="center"/>
    </xf>
    <xf numFmtId="0" fontId="20" fillId="0" borderId="9" xfId="2" applyFont="1" applyBorder="1" applyAlignment="1">
      <alignment horizontal="center" vertical="center" wrapText="1"/>
    </xf>
    <xf numFmtId="0" fontId="21" fillId="2" borderId="9" xfId="2" applyFont="1" applyFill="1" applyBorder="1" applyAlignment="1">
      <alignment horizontal="center" vertical="center" wrapText="1"/>
    </xf>
    <xf numFmtId="0" fontId="20" fillId="2" borderId="9" xfId="2" applyFont="1" applyFill="1" applyBorder="1" applyAlignment="1">
      <alignment horizontal="center" vertical="center" wrapText="1"/>
    </xf>
    <xf numFmtId="0" fontId="22" fillId="2" borderId="9" xfId="2" applyFont="1" applyFill="1" applyBorder="1" applyAlignment="1">
      <alignment horizontal="center" vertical="center" wrapText="1"/>
    </xf>
    <xf numFmtId="0" fontId="20" fillId="0" borderId="2" xfId="2" applyFont="1" applyBorder="1" applyAlignment="1">
      <alignment horizontal="center" vertical="center" wrapText="1"/>
    </xf>
    <xf numFmtId="0" fontId="21" fillId="2" borderId="2" xfId="2" applyFont="1" applyFill="1" applyBorder="1" applyAlignment="1">
      <alignment horizontal="center" vertical="center" wrapText="1"/>
    </xf>
    <xf numFmtId="0" fontId="20" fillId="2" borderId="2" xfId="2" applyFont="1" applyFill="1" applyBorder="1" applyAlignment="1">
      <alignment horizontal="center" vertical="center" wrapText="1"/>
    </xf>
    <xf numFmtId="0" fontId="22" fillId="2" borderId="2" xfId="2" applyFont="1" applyFill="1" applyBorder="1" applyAlignment="1">
      <alignment horizontal="center" vertical="center" wrapText="1"/>
    </xf>
    <xf numFmtId="0" fontId="26" fillId="0" borderId="2" xfId="2" applyFont="1" applyBorder="1" applyAlignment="1">
      <alignment horizontal="center" vertical="center" wrapText="1"/>
    </xf>
    <xf numFmtId="0" fontId="19" fillId="2" borderId="2" xfId="2" applyFont="1" applyFill="1" applyBorder="1" applyAlignment="1">
      <alignment horizontal="center" vertical="center" wrapText="1"/>
    </xf>
    <xf numFmtId="0" fontId="22" fillId="2" borderId="15" xfId="2" applyFont="1" applyFill="1" applyBorder="1" applyAlignment="1">
      <alignment horizontal="center" vertical="center" wrapText="1"/>
    </xf>
    <xf numFmtId="0" fontId="22" fillId="0" borderId="2" xfId="2" applyFont="1" applyBorder="1" applyAlignment="1">
      <alignment horizontal="center" vertical="center" wrapText="1"/>
    </xf>
    <xf numFmtId="0" fontId="20" fillId="0" borderId="15" xfId="2" applyFont="1" applyBorder="1" applyAlignment="1">
      <alignment horizontal="center" vertical="center" wrapText="1"/>
    </xf>
    <xf numFmtId="0" fontId="20" fillId="0" borderId="2" xfId="2" applyFont="1" applyBorder="1" applyAlignment="1">
      <alignment horizontal="justify" vertical="center" wrapText="1"/>
    </xf>
    <xf numFmtId="0" fontId="20" fillId="0" borderId="2" xfId="2" applyFont="1" applyBorder="1" applyAlignment="1">
      <alignment horizontal="left" vertical="center" wrapText="1"/>
    </xf>
    <xf numFmtId="0" fontId="19" fillId="0" borderId="2" xfId="2" applyFont="1" applyBorder="1" applyAlignment="1">
      <alignment horizontal="center" vertical="center" wrapText="1"/>
    </xf>
    <xf numFmtId="0" fontId="21" fillId="0" borderId="2" xfId="2" applyFont="1" applyBorder="1" applyAlignment="1">
      <alignment horizontal="left" vertical="center" wrapText="1"/>
    </xf>
    <xf numFmtId="0" fontId="19" fillId="0" borderId="13" xfId="2" applyFont="1" applyBorder="1" applyAlignment="1">
      <alignment horizontal="center" vertical="center" wrapText="1"/>
    </xf>
    <xf numFmtId="0" fontId="20" fillId="0" borderId="13" xfId="2" applyFont="1" applyBorder="1" applyAlignment="1">
      <alignment horizontal="center" vertical="center" wrapText="1"/>
    </xf>
    <xf numFmtId="0" fontId="20" fillId="0" borderId="16" xfId="2" applyFont="1" applyBorder="1" applyAlignment="1">
      <alignment horizontal="center" vertical="center" wrapText="1"/>
    </xf>
    <xf numFmtId="0" fontId="17" fillId="0" borderId="0" xfId="2" applyFont="1" applyAlignment="1">
      <alignment horizontal="center" vertical="top" wrapText="1"/>
    </xf>
    <xf numFmtId="0" fontId="18" fillId="0" borderId="0" xfId="2" applyFont="1" applyAlignment="1">
      <alignment vertical="top"/>
    </xf>
    <xf numFmtId="0" fontId="20" fillId="0" borderId="9" xfId="2" applyFont="1" applyBorder="1" applyAlignment="1">
      <alignment horizontal="left" vertical="center" wrapText="1"/>
    </xf>
    <xf numFmtId="0" fontId="20" fillId="0" borderId="14" xfId="2" applyFont="1" applyBorder="1" applyAlignment="1">
      <alignment horizontal="left" vertical="center" wrapText="1"/>
    </xf>
    <xf numFmtId="0" fontId="20" fillId="0" borderId="10" xfId="2" applyFont="1" applyBorder="1" applyAlignment="1">
      <alignment horizontal="center" vertical="center" wrapText="1"/>
    </xf>
    <xf numFmtId="0" fontId="19" fillId="0" borderId="2" xfId="2" applyFont="1" applyBorder="1" applyAlignment="1">
      <alignment horizontal="left" vertical="top" wrapText="1"/>
    </xf>
    <xf numFmtId="0" fontId="19" fillId="0" borderId="15" xfId="2" applyFont="1" applyBorder="1" applyAlignment="1">
      <alignment horizontal="left" vertical="top" wrapText="1"/>
    </xf>
    <xf numFmtId="0" fontId="20" fillId="0" borderId="12" xfId="2" applyFont="1" applyBorder="1" applyAlignment="1">
      <alignment horizontal="center" vertical="center" wrapText="1"/>
    </xf>
    <xf numFmtId="0" fontId="19" fillId="0" borderId="8" xfId="2" applyFont="1" applyBorder="1" applyAlignment="1">
      <alignment horizontal="center" vertical="center" wrapText="1"/>
    </xf>
    <xf numFmtId="0" fontId="19" fillId="0" borderId="10" xfId="2" applyFont="1" applyBorder="1" applyAlignment="1">
      <alignment horizontal="center" vertical="center" wrapText="1"/>
    </xf>
    <xf numFmtId="0" fontId="19" fillId="0" borderId="17" xfId="2" applyFont="1" applyBorder="1" applyAlignment="1">
      <alignment horizontal="center" vertical="center" wrapText="1"/>
    </xf>
    <xf numFmtId="0" fontId="19" fillId="0" borderId="18" xfId="2" applyFont="1" applyBorder="1" applyAlignment="1">
      <alignment horizontal="center" vertical="center" wrapText="1"/>
    </xf>
    <xf numFmtId="0" fontId="19" fillId="0" borderId="19" xfId="2" applyFont="1" applyBorder="1" applyAlignment="1">
      <alignment horizontal="center" vertical="center" wrapText="1"/>
    </xf>
    <xf numFmtId="0" fontId="20" fillId="0" borderId="8" xfId="2" applyFont="1" applyBorder="1" applyAlignment="1">
      <alignment horizontal="center" vertical="center" wrapText="1"/>
    </xf>
    <xf numFmtId="0" fontId="19" fillId="0" borderId="3" xfId="2" applyFont="1" applyBorder="1" applyAlignment="1">
      <alignment horizontal="center" vertical="center" wrapText="1"/>
    </xf>
    <xf numFmtId="0" fontId="19" fillId="0" borderId="11" xfId="2" applyFont="1" applyBorder="1" applyAlignment="1">
      <alignment horizontal="center" vertical="center" wrapText="1"/>
    </xf>
    <xf numFmtId="0" fontId="19" fillId="0" borderId="4" xfId="2" applyFont="1" applyBorder="1" applyAlignment="1">
      <alignment horizontal="center" vertical="center" wrapText="1"/>
    </xf>
    <xf numFmtId="0" fontId="22" fillId="0" borderId="9" xfId="2" applyFont="1" applyBorder="1" applyAlignment="1">
      <alignment horizontal="center" vertical="center" wrapText="1"/>
    </xf>
    <xf numFmtId="0" fontId="22" fillId="2" borderId="14" xfId="2" applyFont="1" applyFill="1" applyBorder="1" applyAlignment="1">
      <alignment horizontal="center" vertical="center" wrapText="1"/>
    </xf>
    <xf numFmtId="0" fontId="20" fillId="2" borderId="2" xfId="2" applyNumberFormat="1" applyFont="1" applyFill="1" applyBorder="1" applyAlignment="1">
      <alignment horizontal="center" vertical="center" wrapText="1"/>
    </xf>
    <xf numFmtId="0" fontId="22" fillId="2" borderId="2" xfId="2" applyFont="1" applyFill="1" applyBorder="1" applyAlignment="1">
      <alignment horizontal="left" vertical="center" wrapText="1"/>
    </xf>
    <xf numFmtId="0" fontId="19" fillId="0" borderId="2" xfId="2" applyFont="1" applyBorder="1" applyAlignment="1">
      <alignment horizontal="justify" vertical="top" wrapText="1"/>
    </xf>
    <xf numFmtId="0" fontId="19" fillId="0" borderId="15" xfId="2" applyFont="1" applyBorder="1" applyAlignment="1">
      <alignment horizontal="justify" vertical="top" wrapText="1"/>
    </xf>
    <xf numFmtId="0" fontId="20" fillId="0" borderId="12" xfId="2" applyFont="1" applyBorder="1" applyAlignment="1">
      <alignment horizontal="justify" vertical="center" wrapText="1"/>
    </xf>
    <xf numFmtId="0" fontId="20" fillId="0" borderId="13" xfId="2" applyFont="1" applyBorder="1" applyAlignment="1">
      <alignment horizontal="justify" vertical="center" wrapText="1"/>
    </xf>
    <xf numFmtId="0" fontId="20" fillId="0" borderId="16" xfId="2" applyFont="1" applyBorder="1" applyAlignment="1">
      <alignment horizontal="justify" vertical="center" wrapText="1"/>
    </xf>
    <xf numFmtId="0" fontId="23" fillId="0" borderId="10" xfId="2" applyFont="1" applyBorder="1" applyAlignment="1">
      <alignment horizontal="center" vertical="center" wrapText="1"/>
    </xf>
    <xf numFmtId="0" fontId="20" fillId="0" borderId="3" xfId="2" applyFont="1" applyBorder="1" applyAlignment="1">
      <alignment horizontal="center" vertical="center" wrapText="1"/>
    </xf>
    <xf numFmtId="0" fontId="20" fillId="0" borderId="4" xfId="2" applyFont="1" applyBorder="1" applyAlignment="1">
      <alignment horizontal="center" vertical="center" wrapText="1"/>
    </xf>
    <xf numFmtId="0" fontId="20" fillId="0" borderId="11" xfId="2" applyFont="1" applyBorder="1" applyAlignment="1">
      <alignment horizontal="center" vertical="center" wrapText="1"/>
    </xf>
    <xf numFmtId="0" fontId="1" fillId="0" borderId="0" xfId="2" applyFont="1" applyAlignment="1">
      <alignment horizontal="center" vertical="center" wrapText="1"/>
    </xf>
    <xf numFmtId="0" fontId="91" fillId="0" borderId="0" xfId="2">
      <alignment vertical="center"/>
    </xf>
    <xf numFmtId="0" fontId="2" fillId="0" borderId="1" xfId="2" applyFont="1" applyBorder="1" applyAlignment="1">
      <alignment horizontal="center" vertical="center" wrapText="1"/>
    </xf>
    <xf numFmtId="0" fontId="4" fillId="2" borderId="2" xfId="2" applyFont="1" applyFill="1" applyBorder="1" applyAlignment="1">
      <alignment horizontal="center" vertical="center" wrapText="1"/>
    </xf>
    <xf numFmtId="0" fontId="6" fillId="0" borderId="2" xfId="2" applyFont="1" applyBorder="1" applyAlignment="1">
      <alignment horizontal="center" vertical="center" wrapText="1"/>
    </xf>
    <xf numFmtId="0" fontId="3" fillId="0" borderId="3" xfId="2" applyFont="1" applyBorder="1" applyAlignment="1">
      <alignment horizontal="justify" vertical="center" wrapText="1"/>
    </xf>
    <xf numFmtId="0" fontId="7" fillId="0" borderId="4" xfId="2" applyFont="1" applyBorder="1" applyAlignment="1">
      <alignment horizontal="justify" vertical="center" wrapText="1"/>
    </xf>
    <xf numFmtId="0" fontId="3" fillId="0" borderId="4" xfId="2" applyFont="1" applyBorder="1" applyAlignment="1">
      <alignment horizontal="justify" vertical="center" wrapText="1"/>
    </xf>
    <xf numFmtId="0" fontId="3" fillId="0" borderId="4" xfId="2" applyFont="1" applyBorder="1" applyAlignment="1">
      <alignment horizontal="left" vertical="center" wrapText="1"/>
    </xf>
    <xf numFmtId="0" fontId="13" fillId="0" borderId="0" xfId="2" applyFont="1" applyAlignment="1">
      <alignment horizontal="left" vertical="center" wrapText="1" indent="2"/>
    </xf>
    <xf numFmtId="0" fontId="14" fillId="0" borderId="0" xfId="1" applyAlignment="1">
      <alignment horizontal="left" vertical="center" wrapText="1" indent="2"/>
    </xf>
    <xf numFmtId="0" fontId="3" fillId="0" borderId="2" xfId="2" applyFont="1" applyBorder="1" applyAlignment="1">
      <alignment horizontal="center" vertical="center" wrapText="1"/>
    </xf>
    <xf numFmtId="0" fontId="3" fillId="0" borderId="2" xfId="2" applyFont="1" applyBorder="1" applyAlignment="1">
      <alignment horizontal="justify" vertical="center" wrapText="1"/>
    </xf>
    <xf numFmtId="0" fontId="4" fillId="0" borderId="2" xfId="2" applyFont="1" applyBorder="1" applyAlignment="1">
      <alignment horizontal="left" vertical="center" wrapText="1"/>
    </xf>
    <xf numFmtId="0" fontId="8" fillId="0" borderId="2" xfId="2" applyFont="1" applyBorder="1" applyAlignment="1">
      <alignment horizontal="justify" vertical="center" wrapText="1"/>
    </xf>
    <xf numFmtId="0" fontId="10" fillId="0" borderId="0" xfId="2" applyFont="1" applyAlignment="1">
      <alignment horizontal="justify" vertical="center" wrapText="1"/>
    </xf>
    <xf numFmtId="0" fontId="11" fillId="0" borderId="0" xfId="2" applyFont="1" applyAlignment="1">
      <alignment horizontal="center" vertical="center" wrapText="1"/>
    </xf>
  </cellXfs>
  <cellStyles count="5">
    <cellStyle name="常规" xfId="0" builtinId="0"/>
    <cellStyle name="常规 2" xfId="2"/>
    <cellStyle name="常规 2 7" xfId="3"/>
    <cellStyle name="常规 3" xfId="4"/>
    <cellStyle name="超链接" xfId="1" builtinId="8"/>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trlProps/ctrlProp2.xml><?xml version="1.0" encoding="utf-8"?>
<formControlPr xmlns="http://schemas.microsoft.com/office/spreadsheetml/2009/9/main" objectType="Button" val="0"/>
</file>

<file path=xl/ctrlProps/ctrlProp3.xml><?xml version="1.0" encoding="utf-8"?>
<formControlPr xmlns="http://schemas.microsoft.com/office/spreadsheetml/2009/9/main" objectType="Button" val="0"/>
</file>

<file path=xl/ctrlProps/ctrlProp4.xml><?xml version="1.0" encoding="utf-8"?>
<formControlPr xmlns="http://schemas.microsoft.com/office/spreadsheetml/2009/9/main" objectType="Button" val="0"/>
</file>

<file path=xl/ctrlProps/ctrlProp5.xml><?xml version="1.0" encoding="utf-8"?>
<formControlPr xmlns="http://schemas.microsoft.com/office/spreadsheetml/2009/9/main" objectType="Button" val="0"/>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theme/theme1.xml><?xml version="1.0" encoding="utf-8"?>
<a:theme xmlns:a="http://schemas.openxmlformats.org/drawingml/2006/main" name="Offic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Cambria-Calibri">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atMod val="350000"/>
                <a:shade val="99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control" Target="../activeX/activeX1.xml"/><Relationship Id="rId7" Type="http://schemas.openxmlformats.org/officeDocument/2006/relationships/ctrlProp" Target="../ctrlProps/ctrlProp4.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openxmlformats.org/officeDocument/2006/relationships/hyperlink" Target="http://atestsc.mot.gov.cn/" TargetMode="External"/></Relationships>
</file>

<file path=xl/worksheets/sheet1.xml><?xml version="1.0" encoding="utf-8"?>
<worksheet xmlns="http://schemas.openxmlformats.org/spreadsheetml/2006/main" xmlns:r="http://schemas.openxmlformats.org/officeDocument/2006/relationships">
  <sheetPr codeName="Sheet6"/>
  <dimension ref="B2:K19"/>
  <sheetViews>
    <sheetView showGridLines="0" tabSelected="1" view="pageBreakPreview" zoomScale="70" zoomScaleNormal="100" zoomScaleSheetLayoutView="70" workbookViewId="0">
      <pane xSplit="6" ySplit="19" topLeftCell="G107" activePane="bottomRight" state="frozenSplit"/>
      <selection pane="topRight"/>
      <selection pane="bottomLeft"/>
      <selection pane="bottomRight" activeCell="I11" sqref="I11"/>
    </sheetView>
  </sheetViews>
  <sheetFormatPr defaultColWidth="9" defaultRowHeight="13.5"/>
  <cols>
    <col min="1" max="1" width="13.375" style="121" customWidth="1"/>
    <col min="2" max="2" width="9" style="121" customWidth="1"/>
    <col min="3" max="3" width="30.875" style="121" customWidth="1"/>
    <col min="4" max="4" width="27.625" style="121" customWidth="1"/>
    <col min="5" max="5" width="15.375" style="121" customWidth="1"/>
    <col min="6" max="6" width="14.75" style="121" customWidth="1"/>
    <col min="7" max="16384" width="9" style="121"/>
  </cols>
  <sheetData>
    <row r="2" spans="2:6" ht="54" customHeight="1">
      <c r="B2" s="145" t="s">
        <v>0</v>
      </c>
      <c r="C2" s="146"/>
      <c r="D2" s="146"/>
      <c r="E2" s="147"/>
      <c r="F2" s="148"/>
    </row>
    <row r="3" spans="2:6" ht="33" customHeight="1">
      <c r="B3" s="122" t="s">
        <v>1</v>
      </c>
      <c r="C3" s="122" t="s">
        <v>2</v>
      </c>
      <c r="D3" s="123" t="s">
        <v>3</v>
      </c>
      <c r="E3" s="124"/>
      <c r="F3" s="124"/>
    </row>
    <row r="4" spans="2:6" ht="24.95" customHeight="1">
      <c r="B4" s="138">
        <v>1</v>
      </c>
      <c r="C4" s="138" t="s">
        <v>4</v>
      </c>
      <c r="D4" s="141" t="s">
        <v>5</v>
      </c>
      <c r="E4" s="125"/>
      <c r="F4" s="126"/>
    </row>
    <row r="5" spans="2:6" ht="24.95" customHeight="1">
      <c r="B5" s="138"/>
      <c r="C5" s="138"/>
      <c r="D5" s="142"/>
    </row>
    <row r="6" spans="2:6" ht="24.95" customHeight="1">
      <c r="B6" s="138">
        <v>2</v>
      </c>
      <c r="C6" s="138" t="s">
        <v>6</v>
      </c>
      <c r="D6" s="142"/>
    </row>
    <row r="7" spans="2:6" ht="24.95" customHeight="1">
      <c r="B7" s="138"/>
      <c r="C7" s="138"/>
      <c r="D7" s="142"/>
    </row>
    <row r="8" spans="2:6" ht="24.95" customHeight="1">
      <c r="B8" s="138">
        <v>3</v>
      </c>
      <c r="C8" s="138" t="s">
        <v>7</v>
      </c>
      <c r="D8" s="142"/>
    </row>
    <row r="9" spans="2:6" ht="24.95" customHeight="1">
      <c r="B9" s="138"/>
      <c r="C9" s="138"/>
      <c r="D9" s="142"/>
    </row>
    <row r="10" spans="2:6" ht="24.95" customHeight="1">
      <c r="B10" s="138">
        <v>4</v>
      </c>
      <c r="C10" s="138" t="s">
        <v>8</v>
      </c>
      <c r="D10" s="142"/>
    </row>
    <row r="11" spans="2:6" ht="24.95" customHeight="1">
      <c r="B11" s="138"/>
      <c r="C11" s="138"/>
      <c r="D11" s="143"/>
    </row>
    <row r="12" spans="2:6" ht="24.95" customHeight="1">
      <c r="B12" s="139">
        <v>5</v>
      </c>
      <c r="C12" s="139" t="s">
        <v>9</v>
      </c>
      <c r="D12" s="144" t="s">
        <v>10</v>
      </c>
    </row>
    <row r="13" spans="2:6" ht="24.95" customHeight="1">
      <c r="B13" s="140"/>
      <c r="C13" s="140"/>
      <c r="D13" s="142"/>
    </row>
    <row r="14" spans="2:6" ht="40.5" customHeight="1">
      <c r="B14" s="127">
        <v>6</v>
      </c>
      <c r="C14" s="127" t="s">
        <v>11</v>
      </c>
      <c r="D14" s="142"/>
    </row>
    <row r="15" spans="2:6" ht="48" customHeight="1">
      <c r="B15" s="127">
        <v>7</v>
      </c>
      <c r="C15" s="127" t="s">
        <v>12</v>
      </c>
      <c r="D15" s="142"/>
    </row>
    <row r="16" spans="2:6" ht="24.95" customHeight="1">
      <c r="B16" s="138">
        <v>8</v>
      </c>
      <c r="C16" s="138" t="s">
        <v>13</v>
      </c>
      <c r="D16" s="142"/>
    </row>
    <row r="17" spans="2:11" ht="24.95" customHeight="1">
      <c r="B17" s="138"/>
      <c r="C17" s="138"/>
      <c r="D17" s="143"/>
    </row>
    <row r="18" spans="2:11" ht="22.5" customHeight="1">
      <c r="B18" s="137"/>
      <c r="C18" s="137"/>
      <c r="D18" s="128"/>
      <c r="K18" s="130"/>
    </row>
    <row r="19" spans="2:11" s="120" customFormat="1" ht="16.5" customHeight="1">
      <c r="C19" s="129" t="s">
        <v>14</v>
      </c>
    </row>
  </sheetData>
  <sheetProtection sheet="1" objects="1" scenarios="1"/>
  <mergeCells count="17">
    <mergeCell ref="D4:D11"/>
    <mergeCell ref="D12:D17"/>
    <mergeCell ref="B2:D2"/>
    <mergeCell ref="E2:F2"/>
    <mergeCell ref="B18:C18"/>
    <mergeCell ref="B4:B5"/>
    <mergeCell ref="B6:B7"/>
    <mergeCell ref="B8:B9"/>
    <mergeCell ref="B10:B11"/>
    <mergeCell ref="B12:B13"/>
    <mergeCell ref="B16:B17"/>
    <mergeCell ref="C4:C5"/>
    <mergeCell ref="C6:C7"/>
    <mergeCell ref="C8:C9"/>
    <mergeCell ref="C10:C11"/>
    <mergeCell ref="C12:C13"/>
    <mergeCell ref="C16:C17"/>
  </mergeCells>
  <phoneticPr fontId="93" type="noConversion"/>
  <pageMargins left="0.69930555555555596" right="0.69930555555555596" top="0.75" bottom="0.75" header="0.3" footer="0.3"/>
  <pageSetup paperSize="9" scale="94" orientation="portrait" r:id="rId1"/>
  <colBreaks count="1" manualBreakCount="1">
    <brk id="4" max="1048575" man="1"/>
  </colBreaks>
  <legacyDrawing r:id="rId2"/>
  <controls>
    <control shapeId="1041" r:id="rId3" name="CommandButton1"/>
  </controls>
</worksheet>
</file>

<file path=xl/worksheets/sheet2.xml><?xml version="1.0" encoding="utf-8"?>
<worksheet xmlns="http://schemas.openxmlformats.org/spreadsheetml/2006/main" xmlns:r="http://schemas.openxmlformats.org/officeDocument/2006/relationships">
  <sheetPr codeName="Sheet7"/>
  <dimension ref="A1:AB2"/>
  <sheetViews>
    <sheetView topLeftCell="G1" workbookViewId="0">
      <selection activeCell="H2" sqref="H2"/>
    </sheetView>
  </sheetViews>
  <sheetFormatPr defaultColWidth="9" defaultRowHeight="13.5"/>
  <cols>
    <col min="1" max="1" width="7" customWidth="1"/>
    <col min="2" max="2" width="12.625" customWidth="1"/>
  </cols>
  <sheetData>
    <row r="1" spans="1:28">
      <c r="A1" t="s">
        <v>15</v>
      </c>
      <c r="B1" t="s">
        <v>16</v>
      </c>
      <c r="C1" t="s">
        <v>17</v>
      </c>
      <c r="D1" t="s">
        <v>18</v>
      </c>
      <c r="E1" t="s">
        <v>19</v>
      </c>
      <c r="F1" t="s">
        <v>20</v>
      </c>
      <c r="G1" t="s">
        <v>21</v>
      </c>
      <c r="H1" t="s">
        <v>22</v>
      </c>
      <c r="I1" t="s">
        <v>23</v>
      </c>
      <c r="J1" t="s">
        <v>24</v>
      </c>
      <c r="K1" t="s">
        <v>25</v>
      </c>
      <c r="L1" t="s">
        <v>26</v>
      </c>
      <c r="M1" t="s">
        <v>27</v>
      </c>
      <c r="N1" t="s">
        <v>28</v>
      </c>
      <c r="O1" t="s">
        <v>29</v>
      </c>
      <c r="P1" t="s">
        <v>30</v>
      </c>
      <c r="Q1" t="s">
        <v>31</v>
      </c>
      <c r="R1" t="s">
        <v>32</v>
      </c>
      <c r="S1" t="s">
        <v>33</v>
      </c>
      <c r="T1" t="s">
        <v>34</v>
      </c>
      <c r="U1" t="s">
        <v>35</v>
      </c>
      <c r="V1" t="s">
        <v>36</v>
      </c>
      <c r="W1" t="s">
        <v>37</v>
      </c>
      <c r="X1" t="s">
        <v>38</v>
      </c>
      <c r="Y1">
        <v>0</v>
      </c>
      <c r="Z1">
        <v>0</v>
      </c>
      <c r="AA1">
        <v>0</v>
      </c>
      <c r="AB1">
        <v>0</v>
      </c>
    </row>
    <row r="2" spans="1:28">
      <c r="A2" t="s">
        <v>574</v>
      </c>
      <c r="B2" s="102">
        <v>41222</v>
      </c>
      <c r="C2" t="s">
        <v>575</v>
      </c>
      <c r="D2" s="102">
        <v>41282</v>
      </c>
      <c r="E2" t="s">
        <v>576</v>
      </c>
      <c r="F2" t="s">
        <v>569</v>
      </c>
      <c r="G2">
        <v>16166</v>
      </c>
      <c r="H2" t="s">
        <v>577</v>
      </c>
      <c r="I2" t="s">
        <v>578</v>
      </c>
      <c r="K2" t="s">
        <v>579</v>
      </c>
      <c r="L2" t="s">
        <v>580</v>
      </c>
      <c r="M2">
        <v>0</v>
      </c>
      <c r="N2">
        <v>1800</v>
      </c>
      <c r="O2">
        <v>80</v>
      </c>
      <c r="P2">
        <v>1620</v>
      </c>
      <c r="Q2">
        <v>1210</v>
      </c>
      <c r="R2" t="s">
        <v>573</v>
      </c>
      <c r="S2" t="s">
        <v>581</v>
      </c>
      <c r="T2">
        <v>13935579678</v>
      </c>
      <c r="U2">
        <v>47500</v>
      </c>
      <c r="V2">
        <v>1.9</v>
      </c>
      <c r="W2">
        <v>4</v>
      </c>
      <c r="X2" t="s">
        <v>41</v>
      </c>
      <c r="Y2">
        <v>0</v>
      </c>
      <c r="Z2">
        <v>0</v>
      </c>
      <c r="AA2">
        <v>0</v>
      </c>
      <c r="AB2">
        <v>0</v>
      </c>
    </row>
  </sheetData>
  <phoneticPr fontId="93" type="noConversion"/>
  <pageMargins left="0.69930555555555596" right="0.69930555555555596" top="0.75" bottom="0.75" header="0.3" footer="0.3"/>
  <pageSetup paperSize="9" orientation="portrait" horizontalDpi="1200" verticalDpi="1200" r:id="rId1"/>
</worksheet>
</file>

<file path=xl/worksheets/sheet3.xml><?xml version="1.0" encoding="utf-8"?>
<worksheet xmlns="http://schemas.openxmlformats.org/spreadsheetml/2006/main" xmlns:r="http://schemas.openxmlformats.org/officeDocument/2006/relationships">
  <sheetPr codeName="Sheet8"/>
  <dimension ref="A1:AK2"/>
  <sheetViews>
    <sheetView topLeftCell="Q1" workbookViewId="0">
      <selection activeCell="Y12" sqref="Y12"/>
    </sheetView>
  </sheetViews>
  <sheetFormatPr defaultColWidth="9" defaultRowHeight="13.5"/>
  <cols>
    <col min="1" max="1" width="9" style="118"/>
    <col min="2" max="2" width="12.75" style="118" customWidth="1"/>
    <col min="3" max="3" width="9" style="118"/>
    <col min="4" max="4" width="9.875" style="118" customWidth="1"/>
    <col min="5" max="5" width="18.875" style="118" customWidth="1"/>
    <col min="6" max="11" width="9" style="118"/>
    <col min="12" max="12" width="20.75" style="118" customWidth="1"/>
    <col min="13" max="29" width="9" style="118"/>
    <col min="30" max="30" width="27.5" style="118" customWidth="1"/>
    <col min="31" max="16384" width="9" style="118"/>
  </cols>
  <sheetData>
    <row r="1" spans="1:37">
      <c r="A1" s="118" t="s">
        <v>15</v>
      </c>
      <c r="B1" s="118" t="s">
        <v>16</v>
      </c>
      <c r="C1" s="118" t="s">
        <v>17</v>
      </c>
      <c r="D1" s="118" t="s">
        <v>18</v>
      </c>
      <c r="E1" s="118" t="s">
        <v>19</v>
      </c>
      <c r="F1" s="118" t="s">
        <v>20</v>
      </c>
      <c r="G1" s="118" t="s">
        <v>21</v>
      </c>
      <c r="H1" s="118" t="s">
        <v>22</v>
      </c>
      <c r="I1" s="118" t="s">
        <v>23</v>
      </c>
      <c r="J1" s="118" t="s">
        <v>24</v>
      </c>
      <c r="K1" s="118" t="s">
        <v>25</v>
      </c>
      <c r="L1" s="118" t="s">
        <v>26</v>
      </c>
      <c r="M1" s="118" t="s">
        <v>27</v>
      </c>
      <c r="N1" s="118" t="s">
        <v>28</v>
      </c>
      <c r="O1" s="118" t="s">
        <v>29</v>
      </c>
      <c r="P1" s="118" t="s">
        <v>30</v>
      </c>
      <c r="Q1" s="118" t="s">
        <v>31</v>
      </c>
      <c r="R1" s="118" t="s">
        <v>42</v>
      </c>
      <c r="S1" s="118" t="s">
        <v>43</v>
      </c>
      <c r="T1" s="118" t="s">
        <v>44</v>
      </c>
      <c r="U1" s="118" t="s">
        <v>45</v>
      </c>
      <c r="V1" s="118" t="s">
        <v>46</v>
      </c>
      <c r="W1" s="118" t="s">
        <v>47</v>
      </c>
      <c r="X1" s="118" t="s">
        <v>33</v>
      </c>
      <c r="Y1" s="118" t="s">
        <v>34</v>
      </c>
      <c r="Z1" s="118" t="s">
        <v>35</v>
      </c>
      <c r="AA1" s="118" t="s">
        <v>36</v>
      </c>
      <c r="AB1" s="118" t="s">
        <v>37</v>
      </c>
      <c r="AC1" s="118" t="s">
        <v>38</v>
      </c>
      <c r="AD1" s="118" t="s">
        <v>48</v>
      </c>
      <c r="AE1" s="118" t="s">
        <v>23</v>
      </c>
      <c r="AF1" s="118" t="s">
        <v>19</v>
      </c>
      <c r="AG1" s="118" t="s">
        <v>49</v>
      </c>
      <c r="AH1" s="118" t="s">
        <v>29</v>
      </c>
      <c r="AI1" s="118" t="s">
        <v>28</v>
      </c>
      <c r="AJ1" s="118" t="s">
        <v>50</v>
      </c>
      <c r="AK1" s="118" t="s">
        <v>51</v>
      </c>
    </row>
    <row r="2" spans="1:37">
      <c r="A2" s="118" t="s">
        <v>52</v>
      </c>
      <c r="B2" s="102">
        <v>42743</v>
      </c>
      <c r="C2" s="118" t="s">
        <v>53</v>
      </c>
      <c r="D2" s="102">
        <v>42776</v>
      </c>
      <c r="E2" s="118" t="s">
        <v>54</v>
      </c>
      <c r="F2" s="118" t="s">
        <v>55</v>
      </c>
      <c r="G2" s="118">
        <v>89000</v>
      </c>
      <c r="H2" s="118" t="s">
        <v>56</v>
      </c>
      <c r="I2" s="118">
        <v>89410053</v>
      </c>
      <c r="J2" s="118" t="s">
        <v>57</v>
      </c>
      <c r="K2" s="118" t="s">
        <v>58</v>
      </c>
      <c r="L2" s="118" t="s">
        <v>59</v>
      </c>
      <c r="M2" s="118">
        <v>9.6999999999999993</v>
      </c>
      <c r="N2" s="118">
        <v>2200</v>
      </c>
      <c r="O2" s="118">
        <v>215</v>
      </c>
      <c r="P2" s="118">
        <v>25000</v>
      </c>
      <c r="Q2" s="118">
        <v>8805</v>
      </c>
      <c r="R2" s="118">
        <v>2</v>
      </c>
      <c r="S2" s="118">
        <v>7000</v>
      </c>
      <c r="T2" s="118">
        <v>2495</v>
      </c>
      <c r="U2" s="118">
        <v>3550</v>
      </c>
      <c r="V2" s="118" t="s">
        <v>60</v>
      </c>
      <c r="W2" s="118" t="s">
        <v>61</v>
      </c>
      <c r="X2" s="118" t="s">
        <v>62</v>
      </c>
      <c r="Y2" s="118">
        <v>139</v>
      </c>
      <c r="Z2" s="118">
        <v>47500</v>
      </c>
      <c r="AA2" s="118" t="s">
        <v>39</v>
      </c>
      <c r="AB2" s="118" t="s">
        <v>40</v>
      </c>
      <c r="AC2" s="118" t="s">
        <v>41</v>
      </c>
      <c r="AD2" s="119" t="s">
        <v>63</v>
      </c>
      <c r="AE2" s="118">
        <v>89410053</v>
      </c>
      <c r="AF2" s="118" t="s">
        <v>54</v>
      </c>
      <c r="AG2" s="118" t="s">
        <v>64</v>
      </c>
      <c r="AH2" s="118">
        <v>215</v>
      </c>
      <c r="AI2" s="118">
        <v>2200</v>
      </c>
      <c r="AJ2" s="118">
        <v>98</v>
      </c>
      <c r="AK2" s="118" t="s">
        <v>65</v>
      </c>
    </row>
  </sheetData>
  <phoneticPr fontId="93" type="noConversion"/>
  <pageMargins left="0.69930555555555596" right="0.69930555555555596" top="0.75" bottom="0.75" header="0.3" footer="0.3"/>
  <pageSetup paperSize="9" orientation="portrait" horizontalDpi="1200" verticalDpi="1200" r:id="rId1"/>
</worksheet>
</file>

<file path=xl/worksheets/sheet4.xml><?xml version="1.0" encoding="utf-8"?>
<worksheet xmlns="http://schemas.openxmlformats.org/spreadsheetml/2006/main" xmlns:r="http://schemas.openxmlformats.org/officeDocument/2006/relationships">
  <sheetPr codeName="Sheet1"/>
  <dimension ref="D1:S14"/>
  <sheetViews>
    <sheetView showGridLines="0" view="pageBreakPreview" zoomScale="98" zoomScaleNormal="100" zoomScaleSheetLayoutView="98" workbookViewId="0">
      <selection activeCell="J16" sqref="J16"/>
    </sheetView>
  </sheetViews>
  <sheetFormatPr defaultColWidth="9" defaultRowHeight="13.5"/>
  <cols>
    <col min="1" max="2" width="9" style="1"/>
    <col min="3" max="3" width="11.875" style="1" customWidth="1"/>
    <col min="4" max="4" width="24" style="1" customWidth="1"/>
    <col min="5" max="5" width="14.625" style="1" customWidth="1"/>
    <col min="6" max="6" width="26.375" style="1" customWidth="1"/>
    <col min="7" max="17" width="9" style="1"/>
    <col min="18" max="18" width="15.875" style="1" customWidth="1"/>
    <col min="19" max="16384" width="9" style="1"/>
  </cols>
  <sheetData>
    <row r="1" spans="4:19" ht="20.25" customHeight="1">
      <c r="R1" s="82"/>
      <c r="S1" s="82" t="s">
        <v>66</v>
      </c>
    </row>
    <row r="5" spans="4:19" ht="18.75" customHeight="1"/>
    <row r="6" spans="4:19" ht="5.25" customHeight="1"/>
    <row r="7" spans="4:19" ht="6.75" hidden="1" customHeight="1"/>
    <row r="8" spans="4:19" ht="18.75" customHeight="1">
      <c r="D8" s="80" t="str">
        <f ca="1">IF(OFFSET(INDIRECT($S$1&amp;"!"&amp;ADDRESS(1,1)),1,0)="","",OFFSET(INDIRECT($S$1&amp;"!"&amp;ADDRESS(1,1)),1,0))</f>
        <v>张红善</v>
      </c>
      <c r="F8" s="80">
        <f ca="1">IF(OFFSET(INDIRECT($S$1&amp;"!"&amp;ADDRESS(1,20)),1,0)="","",OFFSET(INDIRECT($S$1&amp;"!"&amp;ADDRESS(1,20)),1,0))</f>
        <v>13935579678</v>
      </c>
    </row>
    <row r="9" spans="4:19" ht="18.75" customHeight="1">
      <c r="D9" s="116"/>
      <c r="F9" s="116"/>
    </row>
    <row r="10" spans="4:19" ht="18.75" customHeight="1">
      <c r="D10" s="80" t="str">
        <f ca="1">IF(OFFSET(INDIRECT($S$1&amp;"!"&amp;ADDRESS(1,19)),1,0)="","",OFFSET(INDIRECT($S$1&amp;"!"&amp;ADDRESS(1,19)),1,0))</f>
        <v>山西省潞城市潞康小区法院</v>
      </c>
      <c r="F10" s="117">
        <f ca="1">IF(OFFSET(INDIRECT($S$1&amp;"!"&amp;ADDRESS(1,21)),1,0)="","",OFFSET(INDIRECT($S$1&amp;"!"&amp;ADDRESS(1,21)),1,0))</f>
        <v>47500</v>
      </c>
    </row>
    <row r="11" spans="4:19" ht="9" customHeight="1">
      <c r="D11" s="116"/>
    </row>
    <row r="12" spans="4:19" ht="16.5" customHeight="1">
      <c r="D12" s="80" t="str">
        <f ca="1">IF(OFFSET(INDIRECT($S$1&amp;"!"&amp;ADDRESS(1,3)),1,0)="","",OFFSET(INDIRECT($S$1&amp;"!"&amp;ADDRESS(1,3)),1,0))</f>
        <v>晋DZ5343</v>
      </c>
      <c r="F12" s="80" t="str">
        <f ca="1">IF(OFFSET(INDIRECT($S$1&amp;"!"&amp;ADDRESS(1,11)),1,0)="","",OFFSET(INDIRECT($S$1&amp;"!"&amp;ADDRESS(1,11)),1,0))&amp;"/"&amp;IF(OFFSET(INDIRECT($S$1&amp;"!"&amp;ADDRESS(1,12)),1,0)="","",OFFSET(INDIRECT($S$1&amp;"!"&amp;ADDRESS(1,12)),1,0))</f>
        <v>吉利牌/JL7152K12</v>
      </c>
    </row>
    <row r="13" spans="4:19" ht="24.75" customHeight="1">
      <c r="D13" s="116"/>
      <c r="F13" s="116"/>
    </row>
    <row r="14" spans="4:19" ht="14.25" customHeight="1">
      <c r="D14" s="80" t="s">
        <v>67</v>
      </c>
    </row>
  </sheetData>
  <phoneticPr fontId="93" type="noConversion"/>
  <pageMargins left="0" right="0" top="0" bottom="0" header="0" footer="0"/>
  <pageSetup paperSize="9" orientation="portrait" horizontalDpi="1200" verticalDpi="1200" r:id="rId1"/>
</worksheet>
</file>

<file path=xl/worksheets/sheet5.xml><?xml version="1.0" encoding="utf-8"?>
<worksheet xmlns="http://schemas.openxmlformats.org/spreadsheetml/2006/main" xmlns:r="http://schemas.openxmlformats.org/officeDocument/2006/relationships">
  <sheetPr codeName="Sheet2"/>
  <dimension ref="A1:U22"/>
  <sheetViews>
    <sheetView showGridLines="0" view="pageBreakPreview" topLeftCell="A5" zoomScale="89" zoomScaleNormal="100" zoomScaleSheetLayoutView="89" workbookViewId="0">
      <selection activeCell="I22" sqref="I22:J22"/>
    </sheetView>
  </sheetViews>
  <sheetFormatPr defaultColWidth="9" defaultRowHeight="13.5"/>
  <cols>
    <col min="2" max="2" width="1.625" customWidth="1"/>
    <col min="4" max="4" width="3.875" customWidth="1"/>
    <col min="7" max="7" width="13.25" customWidth="1"/>
    <col min="8" max="8" width="10.75" customWidth="1"/>
    <col min="9" max="9" width="9" customWidth="1"/>
    <col min="10" max="10" width="16.25" customWidth="1"/>
    <col min="12" max="12" width="15" customWidth="1"/>
    <col min="20" max="20" width="20.5" customWidth="1"/>
  </cols>
  <sheetData>
    <row r="1" spans="1:21" ht="62.25" customHeight="1">
      <c r="A1" s="149" t="s">
        <v>68</v>
      </c>
      <c r="B1" s="149"/>
      <c r="C1" s="149"/>
      <c r="D1" s="149"/>
      <c r="E1" s="149"/>
      <c r="F1" s="149"/>
      <c r="G1" s="149"/>
      <c r="H1" s="149"/>
      <c r="I1" s="113" t="s">
        <v>69</v>
      </c>
      <c r="J1" s="114" t="s">
        <v>582</v>
      </c>
      <c r="T1" s="82"/>
      <c r="U1" s="82" t="s">
        <v>66</v>
      </c>
    </row>
    <row r="2" spans="1:21" ht="30" customHeight="1">
      <c r="A2" s="150" t="s">
        <v>70</v>
      </c>
      <c r="B2" s="151"/>
      <c r="C2" s="151"/>
      <c r="D2" s="151"/>
      <c r="E2" s="151"/>
      <c r="F2" s="151"/>
      <c r="G2" s="151"/>
      <c r="H2" s="151"/>
      <c r="I2" s="151"/>
      <c r="J2" s="152"/>
    </row>
    <row r="3" spans="1:21" ht="33" customHeight="1">
      <c r="A3" s="158" t="s">
        <v>71</v>
      </c>
      <c r="B3" s="159"/>
      <c r="C3" s="153" t="s">
        <v>72</v>
      </c>
      <c r="D3" s="154"/>
      <c r="E3" s="153" t="str">
        <f ca="1">IF(OFFSET(INDIRECT($U$1&amp;"!"&amp;ADDRESS(1,1)),1,0)="","",OFFSET(INDIRECT($U$1&amp;"!"&amp;ADDRESS(1,1)),1,0))</f>
        <v>张红善</v>
      </c>
      <c r="F3" s="155"/>
      <c r="G3" s="154"/>
      <c r="H3" s="94" t="s">
        <v>73</v>
      </c>
      <c r="I3" s="156">
        <f ca="1">IF(OFFSET(INDIRECT($U$1&amp;"!"&amp;ADDRESS(1,21)),1,0)="","",OFFSET(INDIRECT($U$1&amp;"!"&amp;ADDRESS(1,21)),1,0))</f>
        <v>47500</v>
      </c>
      <c r="J3" s="157"/>
      <c r="L3" s="115"/>
    </row>
    <row r="4" spans="1:21" ht="33" customHeight="1">
      <c r="A4" s="160"/>
      <c r="B4" s="161"/>
      <c r="C4" s="153" t="s">
        <v>74</v>
      </c>
      <c r="D4" s="154"/>
      <c r="E4" s="153" t="str">
        <f ca="1">IF(OFFSET(INDIRECT($U$1&amp;"!"&amp;ADDRESS(1,19)),1,0)="","",OFFSET(INDIRECT($U$1&amp;"!"&amp;ADDRESS(1,19)),1,0))</f>
        <v>山西省潞城市潞康小区法院</v>
      </c>
      <c r="F4" s="155"/>
      <c r="G4" s="155"/>
      <c r="H4" s="155"/>
      <c r="I4" s="155"/>
      <c r="J4" s="154"/>
    </row>
    <row r="5" spans="1:21" ht="33" customHeight="1">
      <c r="A5" s="162"/>
      <c r="B5" s="163"/>
      <c r="C5" s="153" t="s">
        <v>75</v>
      </c>
      <c r="D5" s="154"/>
      <c r="E5" s="153">
        <f ca="1">IF(OFFSET(INDIRECT($U$1&amp;"!"&amp;ADDRESS(1,20)),1,0)="","",OFFSET(INDIRECT($U$1&amp;"!"&amp;ADDRESS(1,20)),1,0))</f>
        <v>13935579678</v>
      </c>
      <c r="F5" s="155"/>
      <c r="G5" s="154"/>
      <c r="H5" s="94" t="s">
        <v>76</v>
      </c>
      <c r="I5" s="164" t="s">
        <v>77</v>
      </c>
      <c r="J5" s="154"/>
    </row>
    <row r="6" spans="1:21" ht="49.5" customHeight="1">
      <c r="A6" s="153" t="s">
        <v>78</v>
      </c>
      <c r="B6" s="154"/>
      <c r="C6" s="153" t="s">
        <v>72</v>
      </c>
      <c r="D6" s="154"/>
      <c r="E6" s="153"/>
      <c r="F6" s="154"/>
      <c r="G6" s="94" t="s">
        <v>75</v>
      </c>
      <c r="H6" s="153"/>
      <c r="I6" s="155"/>
      <c r="J6" s="154"/>
    </row>
    <row r="7" spans="1:21" ht="33" customHeight="1">
      <c r="A7" s="165" t="s">
        <v>79</v>
      </c>
      <c r="B7" s="166"/>
      <c r="C7" s="166"/>
      <c r="D7" s="166"/>
      <c r="E7" s="166"/>
      <c r="F7" s="166"/>
      <c r="G7" s="166"/>
      <c r="H7" s="166"/>
      <c r="I7" s="166"/>
      <c r="J7" s="167"/>
    </row>
    <row r="8" spans="1:21" ht="33" customHeight="1">
      <c r="A8" s="153" t="s">
        <v>80</v>
      </c>
      <c r="B8" s="155"/>
      <c r="C8" s="154"/>
      <c r="D8" s="153" t="str">
        <f ca="1">IF(OFFSET(INDIRECT($U$1&amp;"!"&amp;ADDRESS(1,6)),1,0)="","",OFFSET(INDIRECT($U$1&amp;"!"&amp;ADDRESS(1,6)),1,0))</f>
        <v>小型汽车</v>
      </c>
      <c r="E8" s="155"/>
      <c r="F8" s="154"/>
      <c r="G8" s="94" t="s">
        <v>81</v>
      </c>
      <c r="H8" s="153" t="str">
        <f ca="1">IF(OFFSET(INDIRECT($U$1&amp;"!"&amp;ADDRESS(1,3)),1,0)="","",OFFSET(INDIRECT($U$1&amp;"!"&amp;ADDRESS(1,3)),1,0))</f>
        <v>晋DZ5343</v>
      </c>
      <c r="I8" s="155"/>
      <c r="J8" s="154"/>
    </row>
    <row r="9" spans="1:21" ht="33" customHeight="1">
      <c r="A9" s="153" t="s">
        <v>82</v>
      </c>
      <c r="B9" s="155"/>
      <c r="C9" s="154"/>
      <c r="D9" s="168" t="s">
        <v>83</v>
      </c>
      <c r="E9" s="169"/>
      <c r="F9" s="169"/>
      <c r="G9" s="169"/>
      <c r="H9" s="169"/>
      <c r="I9" s="169"/>
      <c r="J9" s="170"/>
    </row>
    <row r="10" spans="1:21" ht="33" customHeight="1">
      <c r="A10" s="176" t="s">
        <v>84</v>
      </c>
      <c r="B10" s="153" t="s">
        <v>85</v>
      </c>
      <c r="C10" s="154"/>
      <c r="D10" s="168" t="s">
        <v>86</v>
      </c>
      <c r="E10" s="169"/>
      <c r="F10" s="169"/>
      <c r="G10" s="169"/>
      <c r="H10" s="169"/>
      <c r="I10" s="169"/>
      <c r="J10" s="170"/>
    </row>
    <row r="11" spans="1:21" ht="33" customHeight="1">
      <c r="A11" s="177"/>
      <c r="B11" s="153" t="s">
        <v>87</v>
      </c>
      <c r="C11" s="154"/>
      <c r="D11" s="168" t="s">
        <v>88</v>
      </c>
      <c r="E11" s="169"/>
      <c r="F11" s="169"/>
      <c r="G11" s="169"/>
      <c r="H11" s="169"/>
      <c r="I11" s="169"/>
      <c r="J11" s="170"/>
    </row>
    <row r="12" spans="1:21" ht="33" customHeight="1">
      <c r="A12" s="176" t="s">
        <v>89</v>
      </c>
      <c r="B12" s="153" t="s">
        <v>85</v>
      </c>
      <c r="C12" s="154"/>
      <c r="D12" s="168" t="s">
        <v>90</v>
      </c>
      <c r="E12" s="169"/>
      <c r="F12" s="169"/>
      <c r="G12" s="169"/>
      <c r="H12" s="169"/>
      <c r="I12" s="169"/>
      <c r="J12" s="170"/>
    </row>
    <row r="13" spans="1:21" ht="33" customHeight="1">
      <c r="A13" s="177"/>
      <c r="B13" s="153" t="s">
        <v>87</v>
      </c>
      <c r="C13" s="154"/>
      <c r="D13" s="153"/>
      <c r="E13" s="155"/>
      <c r="F13" s="155"/>
      <c r="G13" s="155"/>
      <c r="H13" s="155"/>
      <c r="I13" s="155"/>
      <c r="J13" s="154"/>
    </row>
    <row r="14" spans="1:21" ht="33" customHeight="1">
      <c r="A14" s="176" t="s">
        <v>91</v>
      </c>
      <c r="B14" s="153" t="s">
        <v>92</v>
      </c>
      <c r="C14" s="154"/>
      <c r="D14" s="153"/>
      <c r="E14" s="155"/>
      <c r="F14" s="155"/>
      <c r="G14" s="155"/>
      <c r="H14" s="155"/>
      <c r="I14" s="155"/>
      <c r="J14" s="154"/>
    </row>
    <row r="15" spans="1:21" ht="33" customHeight="1">
      <c r="A15" s="178"/>
      <c r="B15" s="153" t="s">
        <v>85</v>
      </c>
      <c r="C15" s="154"/>
      <c r="D15" s="168" t="s">
        <v>93</v>
      </c>
      <c r="E15" s="169"/>
      <c r="F15" s="169"/>
      <c r="G15" s="169"/>
      <c r="H15" s="169"/>
      <c r="I15" s="169"/>
      <c r="J15" s="170"/>
    </row>
    <row r="16" spans="1:21" ht="33" customHeight="1">
      <c r="A16" s="177"/>
      <c r="B16" s="153" t="s">
        <v>87</v>
      </c>
      <c r="C16" s="154"/>
      <c r="D16" s="153"/>
      <c r="E16" s="155"/>
      <c r="F16" s="155"/>
      <c r="G16" s="155"/>
      <c r="H16" s="155"/>
      <c r="I16" s="155"/>
      <c r="J16" s="154"/>
    </row>
    <row r="17" spans="1:10" ht="33" customHeight="1">
      <c r="A17" s="176" t="s">
        <v>94</v>
      </c>
      <c r="B17" s="153" t="s">
        <v>95</v>
      </c>
      <c r="C17" s="154"/>
      <c r="D17" s="168" t="s">
        <v>96</v>
      </c>
      <c r="E17" s="169"/>
      <c r="F17" s="169"/>
      <c r="G17" s="169"/>
      <c r="H17" s="169"/>
      <c r="I17" s="169"/>
      <c r="J17" s="170"/>
    </row>
    <row r="18" spans="1:10" ht="33" customHeight="1">
      <c r="A18" s="178"/>
      <c r="B18" s="153" t="s">
        <v>85</v>
      </c>
      <c r="C18" s="154"/>
      <c r="D18" s="168" t="s">
        <v>97</v>
      </c>
      <c r="E18" s="169"/>
      <c r="F18" s="169"/>
      <c r="G18" s="169"/>
      <c r="H18" s="169"/>
      <c r="I18" s="169"/>
      <c r="J18" s="170"/>
    </row>
    <row r="19" spans="1:10" ht="33" customHeight="1">
      <c r="A19" s="177"/>
      <c r="B19" s="153" t="s">
        <v>87</v>
      </c>
      <c r="C19" s="154"/>
      <c r="D19" s="153"/>
      <c r="E19" s="155"/>
      <c r="F19" s="155"/>
      <c r="G19" s="155"/>
      <c r="H19" s="155"/>
      <c r="I19" s="155"/>
      <c r="J19" s="154"/>
    </row>
    <row r="20" spans="1:10" ht="1.5" hidden="1" customHeight="1">
      <c r="A20" s="109"/>
      <c r="B20" s="110"/>
      <c r="C20" s="110"/>
      <c r="D20" s="110"/>
      <c r="E20" s="110"/>
      <c r="F20" s="110"/>
      <c r="G20" s="110"/>
      <c r="H20" s="110"/>
      <c r="I20" s="110"/>
      <c r="J20" s="108"/>
    </row>
    <row r="21" spans="1:10" ht="30" customHeight="1">
      <c r="A21" s="179" t="s">
        <v>98</v>
      </c>
      <c r="B21" s="180"/>
      <c r="C21" s="180"/>
      <c r="D21" s="180"/>
      <c r="E21" s="181"/>
      <c r="F21" s="171" t="s">
        <v>99</v>
      </c>
      <c r="G21" s="172"/>
      <c r="H21" s="172"/>
      <c r="I21" s="172"/>
      <c r="J21" s="173"/>
    </row>
    <row r="22" spans="1:10" ht="53.25" customHeight="1">
      <c r="A22" s="182"/>
      <c r="B22" s="183"/>
      <c r="C22" s="183"/>
      <c r="D22" s="183"/>
      <c r="E22" s="184"/>
      <c r="F22" s="111" t="s">
        <v>100</v>
      </c>
      <c r="G22" s="112"/>
      <c r="H22" s="112"/>
      <c r="I22" s="174">
        <f ca="1">TODAY()</f>
        <v>43831</v>
      </c>
      <c r="J22" s="175"/>
    </row>
  </sheetData>
  <mergeCells count="48">
    <mergeCell ref="B19:C19"/>
    <mergeCell ref="D19:J19"/>
    <mergeCell ref="F21:J21"/>
    <mergeCell ref="I22:J22"/>
    <mergeCell ref="A10:A11"/>
    <mergeCell ref="A12:A13"/>
    <mergeCell ref="A14:A16"/>
    <mergeCell ref="A17:A19"/>
    <mergeCell ref="A21:E22"/>
    <mergeCell ref="B16:C16"/>
    <mergeCell ref="D16:J16"/>
    <mergeCell ref="B17:C17"/>
    <mergeCell ref="D17:J17"/>
    <mergeCell ref="B18:C18"/>
    <mergeCell ref="D18:J18"/>
    <mergeCell ref="B13:C13"/>
    <mergeCell ref="D13:J13"/>
    <mergeCell ref="B14:C14"/>
    <mergeCell ref="D14:J14"/>
    <mergeCell ref="B15:C15"/>
    <mergeCell ref="D15:J15"/>
    <mergeCell ref="B10:C10"/>
    <mergeCell ref="D10:J10"/>
    <mergeCell ref="B11:C11"/>
    <mergeCell ref="D11:J11"/>
    <mergeCell ref="B12:C12"/>
    <mergeCell ref="D12:J12"/>
    <mergeCell ref="A8:C8"/>
    <mergeCell ref="D8:F8"/>
    <mergeCell ref="H8:J8"/>
    <mergeCell ref="A9:C9"/>
    <mergeCell ref="D9:J9"/>
    <mergeCell ref="A6:B6"/>
    <mergeCell ref="C6:D6"/>
    <mergeCell ref="E6:F6"/>
    <mergeCell ref="H6:J6"/>
    <mergeCell ref="A7:J7"/>
    <mergeCell ref="A1:H1"/>
    <mergeCell ref="A2:J2"/>
    <mergeCell ref="C3:D3"/>
    <mergeCell ref="E3:G3"/>
    <mergeCell ref="I3:J3"/>
    <mergeCell ref="A3:B5"/>
    <mergeCell ref="C4:D4"/>
    <mergeCell ref="E4:J4"/>
    <mergeCell ref="C5:D5"/>
    <mergeCell ref="E5:G5"/>
    <mergeCell ref="I5:J5"/>
  </mergeCells>
  <phoneticPr fontId="93" type="noConversion"/>
  <printOptions horizontalCentered="1" verticalCentered="1"/>
  <pageMargins left="0.38888888888888901" right="0.38888888888888901" top="0.38888888888888901" bottom="0.38888888888888901" header="0.30902777777777801" footer="0.30902777777777801"/>
  <pageSetup paperSize="9" orientation="portrait" horizontalDpi="1200" verticalDpi="1200" r:id="rId1"/>
</worksheet>
</file>

<file path=xl/worksheets/sheet6.xml><?xml version="1.0" encoding="utf-8"?>
<worksheet xmlns="http://schemas.openxmlformats.org/spreadsheetml/2006/main" xmlns:r="http://schemas.openxmlformats.org/officeDocument/2006/relationships">
  <sheetPr codeName="Sheet3"/>
  <dimension ref="A1:Y42"/>
  <sheetViews>
    <sheetView showGridLines="0" view="pageBreakPreview" topLeftCell="A10" zoomScale="110" zoomScaleNormal="100" zoomScaleSheetLayoutView="110" workbookViewId="0">
      <selection sqref="A1:N1"/>
    </sheetView>
  </sheetViews>
  <sheetFormatPr defaultColWidth="9" defaultRowHeight="13.5"/>
  <cols>
    <col min="1" max="1" width="6.125" customWidth="1"/>
    <col min="2" max="2" width="9.375" customWidth="1"/>
    <col min="3" max="3" width="5.5" customWidth="1"/>
    <col min="4" max="4" width="4.75" customWidth="1"/>
    <col min="5" max="5" width="8.875" customWidth="1"/>
    <col min="6" max="6" width="1.875" customWidth="1"/>
    <col min="7" max="7" width="3.375" customWidth="1"/>
    <col min="8" max="8" width="2.625" customWidth="1"/>
    <col min="9" max="9" width="1.75" customWidth="1"/>
    <col min="10" max="10" width="5.25" customWidth="1"/>
    <col min="11" max="11" width="2.875" customWidth="1"/>
    <col min="12" max="12" width="6.25" customWidth="1"/>
    <col min="13" max="13" width="7" customWidth="1"/>
    <col min="14" max="14" width="5.375" customWidth="1"/>
    <col min="15" max="15" width="7.875" customWidth="1"/>
    <col min="16" max="16" width="9.75" customWidth="1"/>
    <col min="17" max="17" width="8.375" customWidth="1"/>
    <col min="20" max="20" width="15.375" customWidth="1"/>
    <col min="24" max="24" width="49.125" customWidth="1"/>
  </cols>
  <sheetData>
    <row r="1" spans="1:25" ht="25.5" customHeight="1">
      <c r="A1" s="185" t="s">
        <v>101</v>
      </c>
      <c r="B1" s="185"/>
      <c r="C1" s="185"/>
      <c r="D1" s="185"/>
      <c r="E1" s="185"/>
      <c r="F1" s="185"/>
      <c r="G1" s="185"/>
      <c r="H1" s="185"/>
      <c r="I1" s="185"/>
      <c r="J1" s="185"/>
      <c r="K1" s="185"/>
      <c r="L1" s="185"/>
      <c r="M1" s="185"/>
      <c r="N1" s="185"/>
      <c r="O1" s="96" t="s">
        <v>69</v>
      </c>
      <c r="P1" s="186" t="s">
        <v>582</v>
      </c>
      <c r="Q1" s="186"/>
      <c r="T1" s="82"/>
      <c r="U1" s="82" t="s">
        <v>66</v>
      </c>
    </row>
    <row r="2" spans="1:25" ht="21" customHeight="1">
      <c r="A2" s="168" t="s">
        <v>102</v>
      </c>
      <c r="B2" s="169"/>
      <c r="C2" s="169"/>
      <c r="D2" s="169"/>
      <c r="E2" s="169"/>
      <c r="F2" s="169"/>
      <c r="G2" s="169"/>
      <c r="H2" s="169"/>
      <c r="I2" s="169"/>
      <c r="J2" s="169"/>
      <c r="K2" s="169"/>
      <c r="L2" s="169"/>
      <c r="M2" s="169"/>
      <c r="N2" s="169"/>
      <c r="O2" s="169"/>
      <c r="P2" s="169"/>
      <c r="Q2" s="170"/>
    </row>
    <row r="3" spans="1:25" ht="24.75" customHeight="1">
      <c r="A3" s="187" t="s">
        <v>103</v>
      </c>
      <c r="B3" s="188"/>
      <c r="C3" s="188" t="str">
        <f ca="1">IF(OFFSET(INDIRECT($U$1&amp;"!"&amp;ADDRESS(1,3)),1,0)="","",OFFSET(INDIRECT($U$1&amp;"!"&amp;ADDRESS(1,3)),1,0))</f>
        <v>晋DZ5343</v>
      </c>
      <c r="D3" s="188"/>
      <c r="E3" s="92" t="s">
        <v>104</v>
      </c>
      <c r="F3" s="188" t="str">
        <f ca="1">IF(OFFSET(INDIRECT($U$1&amp;"!"&amp;ADDRESS(1,8)),1,0)="","",OFFSET(INDIRECT($U$1&amp;"!"&amp;ADDRESS(1,8)),1,0))</f>
        <v>小型轿车</v>
      </c>
      <c r="G3" s="188"/>
      <c r="H3" s="188"/>
      <c r="I3" s="188"/>
      <c r="J3" s="189" t="s">
        <v>105</v>
      </c>
      <c r="K3" s="189"/>
      <c r="L3" s="189"/>
      <c r="M3" s="97" t="str">
        <f ca="1">IF(OFFSET(INDIRECT($U$1&amp;"!"&amp;ADDRESS(1,18)),1,0)="","",OFFSET(INDIRECT($U$1&amp;"!"&amp;ADDRESS(1,18)),1,0))</f>
        <v>非营运</v>
      </c>
      <c r="N3" s="190" t="s">
        <v>106</v>
      </c>
      <c r="O3" s="190"/>
      <c r="P3" s="98">
        <f ca="1">IF(OFFSET(INDIRECT($U$1&amp;"!"&amp;ADDRESS(1,7)),1,0)="","",OFFSET(INDIRECT($U$1&amp;"!"&amp;ADDRESS(1,7)),1,0))</f>
        <v>16166</v>
      </c>
      <c r="Q3" s="99" t="s">
        <v>107</v>
      </c>
    </row>
    <row r="4" spans="1:25" ht="19.5" customHeight="1">
      <c r="A4" s="191" t="s">
        <v>108</v>
      </c>
      <c r="B4" s="192"/>
      <c r="C4" s="193">
        <f ca="1">IF(OFFSET(INDIRECT($U$1&amp;"!"&amp;ADDRESS(1,2)),1,0)="","",OFFSET(INDIRECT($U$1&amp;"!"&amp;ADDRESS(1,2)),1,0))</f>
        <v>41222</v>
      </c>
      <c r="D4" s="193"/>
      <c r="E4" s="194" t="s">
        <v>109</v>
      </c>
      <c r="F4" s="194"/>
      <c r="G4" s="194"/>
      <c r="H4" s="93"/>
      <c r="I4" s="195">
        <f ca="1">IF(OFFSET(INDIRECT($U$1&amp;"!"&amp;ADDRESS(1,4)),1,0)="","",OFFSET(INDIRECT($U$1&amp;"!"&amp;ADDRESS(1,4)),1,0))</f>
        <v>41282</v>
      </c>
      <c r="J4" s="195"/>
      <c r="K4" s="195"/>
      <c r="L4" s="195"/>
      <c r="M4" s="196" t="s">
        <v>110</v>
      </c>
      <c r="N4" s="196"/>
      <c r="O4" s="196"/>
      <c r="P4" s="197">
        <f ca="1">TODAY()</f>
        <v>43831</v>
      </c>
      <c r="Q4" s="198"/>
      <c r="T4" s="100"/>
      <c r="X4" s="199"/>
      <c r="Y4" s="199"/>
    </row>
    <row r="5" spans="1:25" ht="21.75" customHeight="1">
      <c r="A5" s="168" t="s">
        <v>111</v>
      </c>
      <c r="B5" s="169"/>
      <c r="C5" s="169"/>
      <c r="D5" s="169"/>
      <c r="E5" s="169"/>
      <c r="F5" s="169"/>
      <c r="G5" s="169"/>
      <c r="H5" s="169"/>
      <c r="I5" s="169"/>
      <c r="J5" s="169"/>
      <c r="K5" s="169"/>
      <c r="L5" s="169"/>
      <c r="M5" s="169"/>
      <c r="N5" s="169"/>
      <c r="O5" s="169"/>
      <c r="P5" s="169"/>
      <c r="Q5" s="170"/>
    </row>
    <row r="6" spans="1:25" ht="24" customHeight="1">
      <c r="A6" s="94" t="s">
        <v>1</v>
      </c>
      <c r="B6" s="94"/>
      <c r="C6" s="153" t="s">
        <v>112</v>
      </c>
      <c r="D6" s="155"/>
      <c r="E6" s="155"/>
      <c r="F6" s="155"/>
      <c r="G6" s="155"/>
      <c r="H6" s="155"/>
      <c r="I6" s="154"/>
      <c r="J6" s="153" t="s">
        <v>113</v>
      </c>
      <c r="K6" s="154"/>
      <c r="L6" s="94" t="s">
        <v>1</v>
      </c>
      <c r="M6" s="94"/>
      <c r="N6" s="153" t="s">
        <v>112</v>
      </c>
      <c r="O6" s="155"/>
      <c r="P6" s="154"/>
      <c r="Q6" s="94" t="s">
        <v>113</v>
      </c>
    </row>
    <row r="7" spans="1:25" ht="15.95" customHeight="1">
      <c r="A7" s="207" t="s">
        <v>114</v>
      </c>
      <c r="B7" s="207" t="s">
        <v>115</v>
      </c>
      <c r="C7" s="200" t="s">
        <v>116</v>
      </c>
      <c r="D7" s="201"/>
      <c r="E7" s="201"/>
      <c r="F7" s="201"/>
      <c r="G7" s="201"/>
      <c r="H7" s="201"/>
      <c r="I7" s="202"/>
      <c r="J7" s="203"/>
      <c r="K7" s="204"/>
      <c r="L7" s="207" t="s">
        <v>117</v>
      </c>
      <c r="M7" s="207" t="s">
        <v>118</v>
      </c>
      <c r="N7" s="205" t="s">
        <v>119</v>
      </c>
      <c r="O7" s="206"/>
      <c r="P7" s="202"/>
      <c r="Q7" s="94"/>
    </row>
    <row r="8" spans="1:25" ht="15.95" customHeight="1">
      <c r="A8" s="208"/>
      <c r="B8" s="208"/>
      <c r="C8" s="200" t="s">
        <v>120</v>
      </c>
      <c r="D8" s="201"/>
      <c r="E8" s="201"/>
      <c r="F8" s="201"/>
      <c r="G8" s="201"/>
      <c r="H8" s="201"/>
      <c r="I8" s="202"/>
      <c r="J8" s="203"/>
      <c r="K8" s="204"/>
      <c r="L8" s="208"/>
      <c r="M8" s="208"/>
      <c r="N8" s="200" t="s">
        <v>121</v>
      </c>
      <c r="O8" s="201"/>
      <c r="P8" s="202"/>
      <c r="Q8" s="94"/>
      <c r="T8" s="101"/>
      <c r="V8" s="102"/>
    </row>
    <row r="9" spans="1:25" ht="15.95" customHeight="1">
      <c r="A9" s="208"/>
      <c r="B9" s="208"/>
      <c r="C9" s="200" t="s">
        <v>122</v>
      </c>
      <c r="D9" s="201"/>
      <c r="E9" s="201"/>
      <c r="F9" s="201"/>
      <c r="G9" s="201"/>
      <c r="H9" s="201"/>
      <c r="I9" s="202"/>
      <c r="J9" s="210"/>
      <c r="K9" s="211"/>
      <c r="L9" s="208"/>
      <c r="M9" s="208"/>
      <c r="N9" s="200" t="s">
        <v>123</v>
      </c>
      <c r="O9" s="201"/>
      <c r="P9" s="202"/>
      <c r="Q9" s="94"/>
    </row>
    <row r="10" spans="1:25" ht="15.95" customHeight="1">
      <c r="A10" s="208"/>
      <c r="B10" s="208"/>
      <c r="C10" s="200"/>
      <c r="D10" s="201"/>
      <c r="E10" s="201"/>
      <c r="F10" s="201"/>
      <c r="G10" s="201"/>
      <c r="H10" s="201"/>
      <c r="I10" s="202"/>
      <c r="J10" s="210"/>
      <c r="K10" s="211"/>
      <c r="L10" s="208"/>
      <c r="M10" s="208"/>
      <c r="N10" s="200" t="s">
        <v>124</v>
      </c>
      <c r="O10" s="201"/>
      <c r="P10" s="202"/>
      <c r="Q10" s="94"/>
    </row>
    <row r="11" spans="1:25" ht="15.95" customHeight="1">
      <c r="A11" s="208"/>
      <c r="B11" s="208"/>
      <c r="C11" s="200" t="s">
        <v>125</v>
      </c>
      <c r="D11" s="201"/>
      <c r="E11" s="201"/>
      <c r="F11" s="201"/>
      <c r="G11" s="201"/>
      <c r="H11" s="201"/>
      <c r="I11" s="202"/>
      <c r="J11" s="210"/>
      <c r="K11" s="211"/>
      <c r="L11" s="208"/>
      <c r="M11" s="208"/>
      <c r="N11" s="200" t="s">
        <v>126</v>
      </c>
      <c r="O11" s="201"/>
      <c r="P11" s="202"/>
      <c r="Q11" s="94"/>
    </row>
    <row r="12" spans="1:25" ht="15.95" customHeight="1">
      <c r="A12" s="208"/>
      <c r="B12" s="208"/>
      <c r="C12" s="200"/>
      <c r="D12" s="201"/>
      <c r="E12" s="201"/>
      <c r="F12" s="201"/>
      <c r="G12" s="201"/>
      <c r="H12" s="201"/>
      <c r="I12" s="202"/>
      <c r="J12" s="210"/>
      <c r="K12" s="211"/>
      <c r="L12" s="208"/>
      <c r="M12" s="208"/>
      <c r="N12" s="200" t="s">
        <v>127</v>
      </c>
      <c r="O12" s="201"/>
      <c r="P12" s="202"/>
      <c r="Q12" s="103"/>
    </row>
    <row r="13" spans="1:25" ht="15.95" customHeight="1">
      <c r="A13" s="209"/>
      <c r="B13" s="209"/>
      <c r="C13" s="200" t="s">
        <v>128</v>
      </c>
      <c r="D13" s="201"/>
      <c r="E13" s="201"/>
      <c r="F13" s="201"/>
      <c r="G13" s="201"/>
      <c r="H13" s="201"/>
      <c r="I13" s="202"/>
      <c r="J13" s="210"/>
      <c r="K13" s="211"/>
      <c r="L13" s="208"/>
      <c r="M13" s="208"/>
      <c r="N13" s="200" t="s">
        <v>129</v>
      </c>
      <c r="O13" s="201"/>
      <c r="P13" s="202"/>
      <c r="Q13" s="103"/>
    </row>
    <row r="14" spans="1:25" ht="15.95" customHeight="1">
      <c r="A14" s="207" t="s">
        <v>130</v>
      </c>
      <c r="B14" s="207" t="s">
        <v>131</v>
      </c>
      <c r="C14" s="200" t="s">
        <v>132</v>
      </c>
      <c r="D14" s="201"/>
      <c r="E14" s="201"/>
      <c r="F14" s="201"/>
      <c r="G14" s="201"/>
      <c r="H14" s="201"/>
      <c r="I14" s="202"/>
      <c r="J14" s="210"/>
      <c r="K14" s="211"/>
      <c r="L14" s="208"/>
      <c r="M14" s="208"/>
      <c r="N14" s="200" t="s">
        <v>133</v>
      </c>
      <c r="O14" s="201"/>
      <c r="P14" s="202"/>
      <c r="Q14" s="103"/>
    </row>
    <row r="15" spans="1:25" ht="15.95" customHeight="1">
      <c r="A15" s="208"/>
      <c r="B15" s="208"/>
      <c r="C15" s="200" t="s">
        <v>134</v>
      </c>
      <c r="D15" s="201"/>
      <c r="E15" s="201"/>
      <c r="F15" s="201"/>
      <c r="G15" s="201"/>
      <c r="H15" s="201"/>
      <c r="I15" s="202"/>
      <c r="J15" s="210"/>
      <c r="K15" s="211"/>
      <c r="L15" s="208"/>
      <c r="M15" s="208"/>
      <c r="N15" s="200" t="s">
        <v>135</v>
      </c>
      <c r="O15" s="201"/>
      <c r="P15" s="202"/>
      <c r="Q15" s="103"/>
    </row>
    <row r="16" spans="1:25" ht="15.95" customHeight="1">
      <c r="A16" s="208"/>
      <c r="B16" s="208"/>
      <c r="C16" s="200" t="s">
        <v>136</v>
      </c>
      <c r="D16" s="201"/>
      <c r="E16" s="201"/>
      <c r="F16" s="201"/>
      <c r="G16" s="201"/>
      <c r="H16" s="201"/>
      <c r="I16" s="202"/>
      <c r="J16" s="210"/>
      <c r="K16" s="211"/>
      <c r="L16" s="208"/>
      <c r="M16" s="208"/>
      <c r="N16" s="200" t="s">
        <v>137</v>
      </c>
      <c r="O16" s="201"/>
      <c r="P16" s="202"/>
      <c r="Q16" s="103"/>
      <c r="T16" s="104"/>
    </row>
    <row r="17" spans="1:22" ht="15.95" customHeight="1">
      <c r="A17" s="208"/>
      <c r="B17" s="208"/>
      <c r="C17" s="200" t="s">
        <v>138</v>
      </c>
      <c r="D17" s="201"/>
      <c r="E17" s="201"/>
      <c r="F17" s="201"/>
      <c r="G17" s="201"/>
      <c r="H17" s="201"/>
      <c r="I17" s="202"/>
      <c r="J17" s="210"/>
      <c r="K17" s="211"/>
      <c r="L17" s="208"/>
      <c r="M17" s="208"/>
      <c r="N17" s="200" t="s">
        <v>139</v>
      </c>
      <c r="O17" s="201"/>
      <c r="P17" s="202"/>
      <c r="Q17" s="103"/>
    </row>
    <row r="18" spans="1:22" ht="14.25" customHeight="1">
      <c r="A18" s="208"/>
      <c r="B18" s="208"/>
      <c r="C18" s="200" t="s">
        <v>140</v>
      </c>
      <c r="D18" s="201"/>
      <c r="E18" s="201"/>
      <c r="F18" s="201"/>
      <c r="G18" s="201"/>
      <c r="H18" s="201"/>
      <c r="I18" s="202"/>
      <c r="J18" s="210"/>
      <c r="K18" s="211"/>
      <c r="L18" s="208"/>
      <c r="M18" s="208"/>
      <c r="N18" s="200" t="s">
        <v>141</v>
      </c>
      <c r="O18" s="201"/>
      <c r="P18" s="202"/>
      <c r="Q18" s="103"/>
      <c r="V18" s="105"/>
    </row>
    <row r="19" spans="1:22" ht="27" customHeight="1">
      <c r="A19" s="208"/>
      <c r="B19" s="208"/>
      <c r="C19" s="200" t="s">
        <v>142</v>
      </c>
      <c r="D19" s="201"/>
      <c r="E19" s="201"/>
      <c r="F19" s="201"/>
      <c r="G19" s="201"/>
      <c r="H19" s="201"/>
      <c r="I19" s="202"/>
      <c r="J19" s="210"/>
      <c r="K19" s="211"/>
      <c r="L19" s="208"/>
      <c r="M19" s="208"/>
      <c r="N19" s="200" t="s">
        <v>143</v>
      </c>
      <c r="O19" s="201"/>
      <c r="P19" s="202"/>
      <c r="Q19" s="103"/>
      <c r="V19" s="106"/>
    </row>
    <row r="20" spans="1:22" ht="15.95" customHeight="1">
      <c r="A20" s="208"/>
      <c r="B20" s="208"/>
      <c r="C20" s="200" t="s">
        <v>144</v>
      </c>
      <c r="D20" s="201"/>
      <c r="E20" s="201"/>
      <c r="F20" s="201"/>
      <c r="G20" s="201"/>
      <c r="H20" s="201"/>
      <c r="I20" s="202"/>
      <c r="J20" s="210"/>
      <c r="K20" s="211"/>
      <c r="L20" s="208"/>
      <c r="M20" s="208"/>
      <c r="N20" s="200" t="s">
        <v>145</v>
      </c>
      <c r="O20" s="201"/>
      <c r="P20" s="202"/>
      <c r="Q20" s="103"/>
    </row>
    <row r="21" spans="1:22" ht="15.95" customHeight="1">
      <c r="A21" s="208"/>
      <c r="B21" s="208"/>
      <c r="C21" s="200" t="s">
        <v>146</v>
      </c>
      <c r="D21" s="201"/>
      <c r="E21" s="201"/>
      <c r="F21" s="201"/>
      <c r="G21" s="201"/>
      <c r="H21" s="201"/>
      <c r="I21" s="202"/>
      <c r="J21" s="210"/>
      <c r="K21" s="211"/>
      <c r="L21" s="209"/>
      <c r="M21" s="209"/>
      <c r="N21" s="200" t="s">
        <v>147</v>
      </c>
      <c r="O21" s="201"/>
      <c r="P21" s="202"/>
      <c r="Q21" s="103"/>
    </row>
    <row r="22" spans="1:22" ht="15.95" customHeight="1">
      <c r="A22" s="208"/>
      <c r="B22" s="208"/>
      <c r="C22" s="200" t="s">
        <v>148</v>
      </c>
      <c r="D22" s="201"/>
      <c r="E22" s="201"/>
      <c r="F22" s="201"/>
      <c r="G22" s="201"/>
      <c r="H22" s="201"/>
      <c r="I22" s="202"/>
      <c r="J22" s="210"/>
      <c r="K22" s="211"/>
      <c r="L22" s="207">
        <v>5</v>
      </c>
      <c r="M22" s="221" t="s">
        <v>149</v>
      </c>
      <c r="N22" s="222"/>
      <c r="O22" s="222"/>
      <c r="P22" s="223"/>
      <c r="Q22" s="176"/>
    </row>
    <row r="23" spans="1:22" ht="15.95" customHeight="1">
      <c r="A23" s="209"/>
      <c r="B23" s="209"/>
      <c r="C23" s="200" t="s">
        <v>150</v>
      </c>
      <c r="D23" s="201"/>
      <c r="E23" s="201"/>
      <c r="F23" s="201"/>
      <c r="G23" s="201"/>
      <c r="H23" s="201"/>
      <c r="I23" s="202"/>
      <c r="J23" s="210"/>
      <c r="K23" s="211"/>
      <c r="L23" s="208"/>
      <c r="M23" s="224"/>
      <c r="N23" s="225"/>
      <c r="O23" s="225"/>
      <c r="P23" s="226"/>
      <c r="Q23" s="178"/>
    </row>
    <row r="24" spans="1:22" ht="15.95" customHeight="1">
      <c r="A24" s="207" t="s">
        <v>151</v>
      </c>
      <c r="B24" s="207" t="s">
        <v>152</v>
      </c>
      <c r="C24" s="200" t="s">
        <v>153</v>
      </c>
      <c r="D24" s="201"/>
      <c r="E24" s="201"/>
      <c r="F24" s="201"/>
      <c r="G24" s="201"/>
      <c r="H24" s="201"/>
      <c r="I24" s="202"/>
      <c r="J24" s="210"/>
      <c r="K24" s="211"/>
      <c r="L24" s="208"/>
      <c r="M24" s="224"/>
      <c r="N24" s="225"/>
      <c r="O24" s="225"/>
      <c r="P24" s="226"/>
      <c r="Q24" s="178"/>
    </row>
    <row r="25" spans="1:22" ht="15.95" customHeight="1">
      <c r="A25" s="208"/>
      <c r="B25" s="208"/>
      <c r="C25" s="200" t="s">
        <v>154</v>
      </c>
      <c r="D25" s="201"/>
      <c r="E25" s="201"/>
      <c r="F25" s="201"/>
      <c r="G25" s="201"/>
      <c r="H25" s="201"/>
      <c r="I25" s="202"/>
      <c r="J25" s="210"/>
      <c r="K25" s="211"/>
      <c r="L25" s="209"/>
      <c r="M25" s="227"/>
      <c r="N25" s="228"/>
      <c r="O25" s="228"/>
      <c r="P25" s="229"/>
      <c r="Q25" s="177"/>
    </row>
    <row r="26" spans="1:22" ht="15.95" customHeight="1">
      <c r="A26" s="208"/>
      <c r="B26" s="208"/>
      <c r="C26" s="200" t="s">
        <v>155</v>
      </c>
      <c r="D26" s="201"/>
      <c r="E26" s="201"/>
      <c r="F26" s="201"/>
      <c r="G26" s="201"/>
      <c r="H26" s="201"/>
      <c r="I26" s="202"/>
      <c r="J26" s="210"/>
      <c r="K26" s="211"/>
      <c r="L26" s="207" t="s">
        <v>156</v>
      </c>
      <c r="M26" s="207" t="s">
        <v>157</v>
      </c>
      <c r="N26" s="200" t="s">
        <v>158</v>
      </c>
      <c r="O26" s="201"/>
      <c r="P26" s="202"/>
      <c r="Q26" s="94"/>
    </row>
    <row r="27" spans="1:22" ht="15.95" customHeight="1">
      <c r="A27" s="208"/>
      <c r="B27" s="208"/>
      <c r="C27" s="200" t="s">
        <v>159</v>
      </c>
      <c r="D27" s="201"/>
      <c r="E27" s="201"/>
      <c r="F27" s="201"/>
      <c r="G27" s="201"/>
      <c r="H27" s="201"/>
      <c r="I27" s="202"/>
      <c r="J27" s="210"/>
      <c r="K27" s="211"/>
      <c r="L27" s="208"/>
      <c r="M27" s="208"/>
      <c r="N27" s="200" t="s">
        <v>160</v>
      </c>
      <c r="O27" s="201"/>
      <c r="P27" s="202"/>
      <c r="Q27" s="94"/>
    </row>
    <row r="28" spans="1:22" ht="15.95" customHeight="1">
      <c r="A28" s="208"/>
      <c r="B28" s="208"/>
      <c r="C28" s="200" t="s">
        <v>161</v>
      </c>
      <c r="D28" s="201"/>
      <c r="E28" s="201"/>
      <c r="F28" s="201"/>
      <c r="G28" s="201"/>
      <c r="H28" s="201"/>
      <c r="I28" s="202"/>
      <c r="J28" s="210"/>
      <c r="K28" s="211"/>
      <c r="L28" s="208"/>
      <c r="M28" s="208"/>
      <c r="N28" s="200" t="s">
        <v>162</v>
      </c>
      <c r="O28" s="201"/>
      <c r="P28" s="202"/>
      <c r="Q28" s="94"/>
    </row>
    <row r="29" spans="1:22" ht="15.95" customHeight="1">
      <c r="A29" s="209"/>
      <c r="B29" s="209"/>
      <c r="C29" s="200" t="s">
        <v>163</v>
      </c>
      <c r="D29" s="201"/>
      <c r="E29" s="201"/>
      <c r="F29" s="201"/>
      <c r="G29" s="201"/>
      <c r="H29" s="201"/>
      <c r="I29" s="202"/>
      <c r="J29" s="210"/>
      <c r="K29" s="211"/>
      <c r="L29" s="209"/>
      <c r="M29" s="209"/>
      <c r="N29" s="200" t="s">
        <v>164</v>
      </c>
      <c r="O29" s="201"/>
      <c r="P29" s="202"/>
      <c r="Q29" s="94"/>
    </row>
    <row r="30" spans="1:22" ht="15.95" customHeight="1">
      <c r="A30" s="207" t="s">
        <v>117</v>
      </c>
      <c r="B30" s="207" t="s">
        <v>165</v>
      </c>
      <c r="C30" s="200" t="s">
        <v>166</v>
      </c>
      <c r="D30" s="201"/>
      <c r="E30" s="201"/>
      <c r="F30" s="201"/>
      <c r="G30" s="201"/>
      <c r="H30" s="201"/>
      <c r="I30" s="202"/>
      <c r="J30" s="210"/>
      <c r="K30" s="211"/>
      <c r="L30" s="207" t="s">
        <v>167</v>
      </c>
      <c r="M30" s="207" t="s">
        <v>168</v>
      </c>
      <c r="N30" s="200" t="s">
        <v>169</v>
      </c>
      <c r="O30" s="201"/>
      <c r="P30" s="202"/>
      <c r="Q30" s="94"/>
    </row>
    <row r="31" spans="1:22" ht="15.95" customHeight="1">
      <c r="A31" s="208"/>
      <c r="B31" s="208"/>
      <c r="C31" s="200" t="s">
        <v>170</v>
      </c>
      <c r="D31" s="201"/>
      <c r="E31" s="201"/>
      <c r="F31" s="201"/>
      <c r="G31" s="201"/>
      <c r="H31" s="201"/>
      <c r="I31" s="202"/>
      <c r="J31" s="210"/>
      <c r="K31" s="211"/>
      <c r="L31" s="208"/>
      <c r="M31" s="208"/>
      <c r="N31" s="200" t="s">
        <v>171</v>
      </c>
      <c r="O31" s="201"/>
      <c r="P31" s="202"/>
      <c r="Q31" s="94"/>
    </row>
    <row r="32" spans="1:22" ht="15.95" customHeight="1">
      <c r="A32" s="208"/>
      <c r="B32" s="208"/>
      <c r="C32" s="200" t="s">
        <v>172</v>
      </c>
      <c r="D32" s="201"/>
      <c r="E32" s="201"/>
      <c r="F32" s="201"/>
      <c r="G32" s="201"/>
      <c r="H32" s="201"/>
      <c r="I32" s="202"/>
      <c r="J32" s="210"/>
      <c r="K32" s="211"/>
      <c r="L32" s="208"/>
      <c r="M32" s="208"/>
      <c r="N32" s="200" t="s">
        <v>173</v>
      </c>
      <c r="O32" s="201"/>
      <c r="P32" s="202"/>
      <c r="Q32" s="94"/>
    </row>
    <row r="33" spans="1:24" ht="15.95" customHeight="1">
      <c r="A33" s="208"/>
      <c r="B33" s="208"/>
      <c r="C33" s="200" t="s">
        <v>174</v>
      </c>
      <c r="D33" s="201"/>
      <c r="E33" s="201"/>
      <c r="F33" s="201"/>
      <c r="G33" s="201"/>
      <c r="H33" s="201"/>
      <c r="I33" s="202"/>
      <c r="J33" s="210"/>
      <c r="K33" s="211"/>
      <c r="L33" s="208"/>
      <c r="M33" s="208"/>
      <c r="N33" s="200" t="s">
        <v>175</v>
      </c>
      <c r="O33" s="201"/>
      <c r="P33" s="202"/>
      <c r="Q33" s="94"/>
    </row>
    <row r="34" spans="1:24" ht="15.95" customHeight="1">
      <c r="A34" s="209"/>
      <c r="B34" s="209"/>
      <c r="C34" s="200" t="s">
        <v>176</v>
      </c>
      <c r="D34" s="201"/>
      <c r="E34" s="201"/>
      <c r="F34" s="201"/>
      <c r="G34" s="201"/>
      <c r="H34" s="201"/>
      <c r="I34" s="202"/>
      <c r="J34" s="210"/>
      <c r="K34" s="211"/>
      <c r="L34" s="209"/>
      <c r="M34" s="209"/>
      <c r="N34" s="200" t="s">
        <v>177</v>
      </c>
      <c r="O34" s="201"/>
      <c r="P34" s="202"/>
      <c r="Q34" s="94"/>
      <c r="X34" s="107"/>
    </row>
    <row r="35" spans="1:24" ht="15.95" customHeight="1">
      <c r="A35" s="95" t="s">
        <v>1</v>
      </c>
      <c r="B35" s="210" t="s">
        <v>178</v>
      </c>
      <c r="C35" s="212"/>
      <c r="D35" s="212"/>
      <c r="E35" s="212"/>
      <c r="F35" s="212"/>
      <c r="G35" s="212"/>
      <c r="H35" s="212"/>
      <c r="I35" s="212"/>
      <c r="J35" s="212"/>
      <c r="K35" s="211"/>
      <c r="L35" s="210" t="s">
        <v>179</v>
      </c>
      <c r="M35" s="212"/>
      <c r="N35" s="212"/>
      <c r="O35" s="212"/>
      <c r="P35" s="211"/>
      <c r="Q35" s="95" t="s">
        <v>3</v>
      </c>
    </row>
    <row r="36" spans="1:24" ht="15.95" customHeight="1">
      <c r="A36" s="94"/>
      <c r="B36" s="153"/>
      <c r="C36" s="155"/>
      <c r="D36" s="155"/>
      <c r="E36" s="155"/>
      <c r="F36" s="155"/>
      <c r="G36" s="155"/>
      <c r="H36" s="155"/>
      <c r="I36" s="155"/>
      <c r="J36" s="155"/>
      <c r="K36" s="154"/>
      <c r="L36" s="153"/>
      <c r="M36" s="155"/>
      <c r="N36" s="155"/>
      <c r="O36" s="155"/>
      <c r="P36" s="154"/>
      <c r="Q36" s="94"/>
    </row>
    <row r="37" spans="1:24" ht="15.95" customHeight="1">
      <c r="A37" s="94"/>
      <c r="B37" s="153"/>
      <c r="C37" s="155"/>
      <c r="D37" s="155"/>
      <c r="E37" s="155"/>
      <c r="F37" s="155"/>
      <c r="G37" s="155"/>
      <c r="H37" s="155"/>
      <c r="I37" s="155"/>
      <c r="J37" s="155"/>
      <c r="K37" s="154"/>
      <c r="L37" s="153"/>
      <c r="M37" s="155"/>
      <c r="N37" s="155"/>
      <c r="O37" s="155"/>
      <c r="P37" s="154"/>
      <c r="Q37" s="94"/>
    </row>
    <row r="38" spans="1:24" ht="23.25" customHeight="1">
      <c r="A38" s="210" t="s">
        <v>180</v>
      </c>
      <c r="B38" s="212"/>
      <c r="C38" s="212"/>
      <c r="D38" s="212"/>
      <c r="E38" s="212"/>
      <c r="F38" s="212"/>
      <c r="G38" s="212"/>
      <c r="H38" s="212"/>
      <c r="I38" s="212"/>
      <c r="J38" s="212"/>
      <c r="K38" s="212"/>
      <c r="L38" s="212"/>
      <c r="M38" s="212" t="s">
        <v>181</v>
      </c>
      <c r="N38" s="212"/>
      <c r="O38" s="213" t="s">
        <v>182</v>
      </c>
      <c r="P38" s="201"/>
      <c r="Q38" s="202"/>
    </row>
    <row r="39" spans="1:24" ht="30.75" customHeight="1">
      <c r="A39" s="210" t="s">
        <v>183</v>
      </c>
      <c r="B39" s="212"/>
      <c r="C39" s="201" t="str">
        <f ca="1">IF(OFFSET(INDIRECT($U$1&amp;"!"&amp;ADDRESS(1,1)),1,0)="","",OFFSET(INDIRECT($U$1&amp;"!"&amp;ADDRESS(1,1)),1,0))</f>
        <v>张红善</v>
      </c>
      <c r="D39" s="201"/>
      <c r="E39" s="201"/>
      <c r="F39" s="214" t="s">
        <v>184</v>
      </c>
      <c r="G39" s="214"/>
      <c r="H39" s="214"/>
      <c r="I39" s="214"/>
      <c r="J39" s="201">
        <f ca="1">IF(OFFSET(INDIRECT($U$1&amp;"!"&amp;ADDRESS(1,20)),1,0)="","",OFFSET(INDIRECT($U$1&amp;"!"&amp;ADDRESS(1,20)),1,0))</f>
        <v>13935579678</v>
      </c>
      <c r="K39" s="201"/>
      <c r="L39" s="201"/>
      <c r="M39" s="214" t="s">
        <v>185</v>
      </c>
      <c r="N39" s="214"/>
      <c r="O39" s="201" t="str">
        <f ca="1">IF(OFFSET(INDIRECT($U$1&amp;"!"&amp;ADDRESS(1,19)),1,0)="","",OFFSET(INDIRECT($U$1&amp;"!"&amp;ADDRESS(1,19)),1,0))</f>
        <v>山西省潞城市潞康小区法院</v>
      </c>
      <c r="P39" s="201"/>
      <c r="Q39" s="202"/>
    </row>
    <row r="40" spans="1:24">
      <c r="A40" s="187" t="s">
        <v>186</v>
      </c>
      <c r="B40" s="188"/>
      <c r="C40" s="188"/>
      <c r="D40" s="188"/>
      <c r="E40" s="188"/>
      <c r="F40" s="188"/>
      <c r="G40" s="188"/>
      <c r="H40" s="188"/>
      <c r="I40" s="188"/>
      <c r="J40" s="188"/>
      <c r="K40" s="188"/>
      <c r="L40" s="188"/>
      <c r="M40" s="188"/>
      <c r="N40" s="188"/>
      <c r="O40" s="188"/>
      <c r="P40" s="188"/>
      <c r="Q40" s="215"/>
    </row>
    <row r="41" spans="1:24" ht="15.75" customHeight="1">
      <c r="A41" s="216" t="s">
        <v>187</v>
      </c>
      <c r="B41" s="196"/>
      <c r="C41" s="196"/>
      <c r="D41" s="196"/>
      <c r="E41" s="196"/>
      <c r="F41" s="196"/>
      <c r="G41" s="196"/>
      <c r="H41" s="196"/>
      <c r="I41" s="196"/>
      <c r="J41" s="196"/>
      <c r="K41" s="196"/>
      <c r="L41" s="196"/>
      <c r="M41" s="196"/>
      <c r="N41" s="196"/>
      <c r="O41" s="196"/>
      <c r="P41" s="196"/>
      <c r="Q41" s="217"/>
    </row>
    <row r="42" spans="1:24" ht="50.25" customHeight="1">
      <c r="A42" s="218" t="s">
        <v>188</v>
      </c>
      <c r="B42" s="219"/>
      <c r="C42" s="219"/>
      <c r="D42" s="219"/>
      <c r="E42" s="219"/>
      <c r="F42" s="219"/>
      <c r="G42" s="219"/>
      <c r="H42" s="219"/>
      <c r="I42" s="219"/>
      <c r="J42" s="219"/>
      <c r="K42" s="219"/>
      <c r="L42" s="219"/>
      <c r="M42" s="219"/>
      <c r="N42" s="219"/>
      <c r="O42" s="219"/>
      <c r="P42" s="219"/>
      <c r="Q42" s="220"/>
    </row>
  </sheetData>
  <mergeCells count="131">
    <mergeCell ref="Q22:Q25"/>
    <mergeCell ref="J9:K10"/>
    <mergeCell ref="J11:K12"/>
    <mergeCell ref="C9:I10"/>
    <mergeCell ref="C11:I12"/>
    <mergeCell ref="M22:P25"/>
    <mergeCell ref="A14:A23"/>
    <mergeCell ref="A24:A29"/>
    <mergeCell ref="A30:A34"/>
    <mergeCell ref="B7:B13"/>
    <mergeCell ref="B14:B23"/>
    <mergeCell ref="B24:B29"/>
    <mergeCell ref="B30:B34"/>
    <mergeCell ref="L7:L21"/>
    <mergeCell ref="L22:L25"/>
    <mergeCell ref="L26:L29"/>
    <mergeCell ref="L30:L34"/>
    <mergeCell ref="C32:I32"/>
    <mergeCell ref="J32:K32"/>
    <mergeCell ref="N32:P32"/>
    <mergeCell ref="C33:I33"/>
    <mergeCell ref="J33:K33"/>
    <mergeCell ref="N33:P33"/>
    <mergeCell ref="C34:I34"/>
    <mergeCell ref="A39:B39"/>
    <mergeCell ref="C39:E39"/>
    <mergeCell ref="F39:I39"/>
    <mergeCell ref="J39:L39"/>
    <mergeCell ref="M39:N39"/>
    <mergeCell ref="O39:Q39"/>
    <mergeCell ref="A40:Q40"/>
    <mergeCell ref="A41:Q41"/>
    <mergeCell ref="A42:Q42"/>
    <mergeCell ref="B35:K35"/>
    <mergeCell ref="L35:P35"/>
    <mergeCell ref="B36:K36"/>
    <mergeCell ref="L36:P36"/>
    <mergeCell ref="B37:K37"/>
    <mergeCell ref="L37:P37"/>
    <mergeCell ref="A38:C38"/>
    <mergeCell ref="D38:L38"/>
    <mergeCell ref="M38:N38"/>
    <mergeCell ref="O38:Q38"/>
    <mergeCell ref="J34:K34"/>
    <mergeCell ref="N34:P34"/>
    <mergeCell ref="M30:M34"/>
    <mergeCell ref="C29:I29"/>
    <mergeCell ref="J29:K29"/>
    <mergeCell ref="N29:P29"/>
    <mergeCell ref="C30:I30"/>
    <mergeCell ref="J30:K30"/>
    <mergeCell ref="N30:P30"/>
    <mergeCell ref="C31:I31"/>
    <mergeCell ref="J31:K31"/>
    <mergeCell ref="N31:P31"/>
    <mergeCell ref="M26:M29"/>
    <mergeCell ref="C25:I25"/>
    <mergeCell ref="J25:K25"/>
    <mergeCell ref="C26:I26"/>
    <mergeCell ref="J26:K26"/>
    <mergeCell ref="N26:P26"/>
    <mergeCell ref="C27:I27"/>
    <mergeCell ref="J27:K27"/>
    <mergeCell ref="N27:P27"/>
    <mergeCell ref="C28:I28"/>
    <mergeCell ref="J28:K28"/>
    <mergeCell ref="N28:P28"/>
    <mergeCell ref="C21:I21"/>
    <mergeCell ref="J21:K21"/>
    <mergeCell ref="N21:P21"/>
    <mergeCell ref="C22:I22"/>
    <mergeCell ref="J22:K22"/>
    <mergeCell ref="C23:I23"/>
    <mergeCell ref="J23:K23"/>
    <mergeCell ref="C24:I24"/>
    <mergeCell ref="J24:K24"/>
    <mergeCell ref="M7:M21"/>
    <mergeCell ref="C18:I18"/>
    <mergeCell ref="J18:K18"/>
    <mergeCell ref="N18:P18"/>
    <mergeCell ref="C19:I19"/>
    <mergeCell ref="J19:K19"/>
    <mergeCell ref="N19:P19"/>
    <mergeCell ref="C20:I20"/>
    <mergeCell ref="J20:K20"/>
    <mergeCell ref="N20:P20"/>
    <mergeCell ref="C15:I15"/>
    <mergeCell ref="J15:K15"/>
    <mergeCell ref="N15:P15"/>
    <mergeCell ref="C16:I16"/>
    <mergeCell ref="J16:K16"/>
    <mergeCell ref="N16:P16"/>
    <mergeCell ref="C17:I17"/>
    <mergeCell ref="J17:K17"/>
    <mergeCell ref="N17:P17"/>
    <mergeCell ref="N9:P9"/>
    <mergeCell ref="N10:P10"/>
    <mergeCell ref="N11:P11"/>
    <mergeCell ref="N12:P12"/>
    <mergeCell ref="C13:I13"/>
    <mergeCell ref="J13:K13"/>
    <mergeCell ref="N13:P13"/>
    <mergeCell ref="C14:I14"/>
    <mergeCell ref="J14:K14"/>
    <mergeCell ref="N14:P14"/>
    <mergeCell ref="X4:Y4"/>
    <mergeCell ref="A5:Q5"/>
    <mergeCell ref="C6:I6"/>
    <mergeCell ref="J6:K6"/>
    <mergeCell ref="N6:P6"/>
    <mergeCell ref="C7:I7"/>
    <mergeCell ref="J7:K7"/>
    <mergeCell ref="N7:P7"/>
    <mergeCell ref="C8:I8"/>
    <mergeCell ref="J8:K8"/>
    <mergeCell ref="N8:P8"/>
    <mergeCell ref="A7:A13"/>
    <mergeCell ref="A1:N1"/>
    <mergeCell ref="P1:Q1"/>
    <mergeCell ref="A2:Q2"/>
    <mergeCell ref="A3:B3"/>
    <mergeCell ref="C3:D3"/>
    <mergeCell ref="F3:I3"/>
    <mergeCell ref="J3:L3"/>
    <mergeCell ref="N3:O3"/>
    <mergeCell ref="A4:B4"/>
    <mergeCell ref="C4:D4"/>
    <mergeCell ref="E4:G4"/>
    <mergeCell ref="I4:L4"/>
    <mergeCell ref="M4:O4"/>
    <mergeCell ref="P4:Q4"/>
  </mergeCells>
  <phoneticPr fontId="93" type="noConversion"/>
  <printOptions horizontalCentered="1" verticalCentered="1"/>
  <pageMargins left="0.38888888888888901" right="0.38888888888888901" top="0.38888888888888901" bottom="0.38888888888888901" header="0.30902777777777801" footer="0.30902777777777801"/>
  <pageSetup paperSize="9" orientation="portrait" verticalDpi="1200" r:id="rId1"/>
</worksheet>
</file>

<file path=xl/worksheets/sheet7.xml><?xml version="1.0" encoding="utf-8"?>
<worksheet xmlns="http://schemas.openxmlformats.org/spreadsheetml/2006/main" xmlns:r="http://schemas.openxmlformats.org/officeDocument/2006/relationships">
  <sheetPr codeName="Sheet4"/>
  <dimension ref="A1:T39"/>
  <sheetViews>
    <sheetView showGridLines="0" view="pageBreakPreview" zoomScaleNormal="131" zoomScaleSheetLayoutView="100" workbookViewId="0">
      <selection activeCell="B6" sqref="B6:C6"/>
    </sheetView>
  </sheetViews>
  <sheetFormatPr defaultColWidth="8.875" defaultRowHeight="13.5"/>
  <cols>
    <col min="1" max="1" width="15" style="85" customWidth="1"/>
    <col min="2" max="2" width="8.125" style="85" customWidth="1"/>
    <col min="3" max="3" width="11.125" style="85" customWidth="1"/>
    <col min="4" max="4" width="10.125" style="85" customWidth="1"/>
    <col min="5" max="5" width="10.625" style="85" customWidth="1"/>
    <col min="6" max="6" width="7.375" style="85" customWidth="1"/>
    <col min="7" max="7" width="5" style="85" customWidth="1"/>
    <col min="8" max="8" width="18.25" style="85" customWidth="1"/>
    <col min="9" max="9" width="14.625" style="86" customWidth="1"/>
    <col min="10" max="10" width="11.875" style="86" customWidth="1"/>
    <col min="11" max="16384" width="8.875" style="86"/>
  </cols>
  <sheetData>
    <row r="1" spans="1:20" ht="23.25" customHeight="1">
      <c r="A1" s="230" t="s">
        <v>189</v>
      </c>
      <c r="B1" s="230"/>
      <c r="C1" s="230"/>
      <c r="D1" s="230"/>
      <c r="E1" s="230"/>
      <c r="F1" s="230"/>
      <c r="G1" s="230"/>
      <c r="H1" s="230"/>
      <c r="T1" s="91" t="s">
        <v>66</v>
      </c>
    </row>
    <row r="2" spans="1:20" s="83" customFormat="1" ht="9.75" customHeight="1">
      <c r="A2" s="87" t="s">
        <v>190</v>
      </c>
      <c r="B2" s="231">
        <f ca="1">TODAY()</f>
        <v>43831</v>
      </c>
      <c r="C2" s="231"/>
      <c r="D2" s="88"/>
      <c r="E2" s="88"/>
      <c r="F2" s="232" t="s">
        <v>69</v>
      </c>
      <c r="G2" s="232"/>
      <c r="H2" s="87" t="s">
        <v>582</v>
      </c>
    </row>
    <row r="3" spans="1:20" s="84" customFormat="1" ht="22.15" customHeight="1">
      <c r="A3" s="233" t="s">
        <v>191</v>
      </c>
      <c r="B3" s="233"/>
      <c r="C3" s="233"/>
      <c r="D3" s="233"/>
      <c r="E3" s="233"/>
      <c r="F3" s="233"/>
      <c r="G3" s="233"/>
      <c r="H3" s="233"/>
    </row>
    <row r="4" spans="1:20" s="84" customFormat="1" ht="22.15" customHeight="1">
      <c r="A4" s="89" t="s">
        <v>81</v>
      </c>
      <c r="B4" s="234" t="str">
        <f ca="1">IF(OFFSET(INDIRECT($T$1&amp;"!"&amp;ADDRESS(1,3)),1,0)="","",OFFSET(INDIRECT($T$1&amp;"!"&amp;ADDRESS(1,3)),1,0))</f>
        <v>晋DZ5343</v>
      </c>
      <c r="C4" s="234"/>
      <c r="D4" s="131" t="s">
        <v>192</v>
      </c>
      <c r="E4" s="135" t="str">
        <f ca="1">IF(OFFSET(INDIRECT($T$1&amp;"!"&amp;ADDRESS(1,8)),1,0)="","",OFFSET(INDIRECT($T$1&amp;"!"&amp;ADDRESS(1,8)),1,0))</f>
        <v>小型轿车</v>
      </c>
      <c r="F4" s="235" t="s">
        <v>193</v>
      </c>
      <c r="G4" s="236"/>
      <c r="H4" s="135"/>
    </row>
    <row r="5" spans="1:20" s="84" customFormat="1" ht="22.15" customHeight="1">
      <c r="A5" s="89" t="s">
        <v>194</v>
      </c>
      <c r="B5" s="234" t="s">
        <v>583</v>
      </c>
      <c r="C5" s="234"/>
      <c r="D5" s="131" t="s">
        <v>195</v>
      </c>
      <c r="E5" s="136" t="s">
        <v>585</v>
      </c>
      <c r="F5" s="235" t="s">
        <v>196</v>
      </c>
      <c r="G5" s="236"/>
      <c r="H5" s="131">
        <f ca="1">IF(OFFSET(INDIRECT($T$1&amp;"!"&amp;ADDRESS(1,7)),1,0)="","",OFFSET(INDIRECT($T$1&amp;"!"&amp;ADDRESS(1,7)),1,0))</f>
        <v>16166</v>
      </c>
    </row>
    <row r="6" spans="1:20" s="84" customFormat="1" ht="22.15" customHeight="1">
      <c r="A6" s="89" t="s">
        <v>197</v>
      </c>
      <c r="B6" s="234">
        <v>1620</v>
      </c>
      <c r="C6" s="234"/>
      <c r="D6" s="131" t="s">
        <v>198</v>
      </c>
      <c r="E6" s="131">
        <f ca="1">IF(OFFSET(INDIRECT($T$1&amp;"!"&amp;ADDRESS(1,17)),1,0)="","",OFFSET(INDIRECT($T$1&amp;"!"&amp;ADDRESS(1,17)),1,0)+100)</f>
        <v>1310</v>
      </c>
      <c r="F6" s="235" t="s">
        <v>199</v>
      </c>
      <c r="G6" s="236"/>
      <c r="H6" s="136" t="s">
        <v>586</v>
      </c>
    </row>
    <row r="7" spans="1:20" s="84" customFormat="1" ht="22.15" customHeight="1">
      <c r="A7" s="89" t="s">
        <v>200</v>
      </c>
      <c r="B7" s="237">
        <f ca="1">IF(OFFSET(INDIRECT($T$1&amp;"!"&amp;ADDRESS(1,2)),1,0)="","",OFFSET(INDIRECT($T$1&amp;"!"&amp;ADDRESS(1,2)),1,0))</f>
        <v>41222</v>
      </c>
      <c r="C7" s="237"/>
      <c r="D7" s="131" t="s">
        <v>201</v>
      </c>
      <c r="E7" s="131">
        <f ca="1">IF(OFFSET(INDIRECT($T$1&amp;"!"&amp;ADDRESS(1,22)),1,0)="","",OFFSET(INDIRECT($T$1&amp;"!"&amp;ADDRESS(1,22)),1,0))</f>
        <v>1.9</v>
      </c>
      <c r="F7" s="235" t="s">
        <v>202</v>
      </c>
      <c r="G7" s="236"/>
      <c r="H7" s="136" t="s">
        <v>587</v>
      </c>
    </row>
    <row r="8" spans="1:20" s="84" customFormat="1" ht="22.15" customHeight="1">
      <c r="A8" s="89" t="s">
        <v>203</v>
      </c>
      <c r="B8" s="234">
        <v>4000</v>
      </c>
      <c r="C8" s="234"/>
      <c r="D8" s="131" t="s">
        <v>41</v>
      </c>
      <c r="E8" s="134" t="str">
        <f ca="1">IF(OFFSET(INDIRECT($T$1&amp;"!"&amp;ADDRESS(1,10)),1,0)="","",OFFSET(INDIRECT($T$1&amp;"!"&amp;ADDRESS(1,10)),1,0))</f>
        <v/>
      </c>
      <c r="F8" s="235" t="s">
        <v>204</v>
      </c>
      <c r="G8" s="236"/>
      <c r="H8" s="131">
        <f ca="1">IF(OFFSET(INDIRECT($T$1&amp;"!"&amp;ADDRESS(1,23)),1,0)="","",OFFSET(INDIRECT($T$1&amp;"!"&amp;ADDRESS(1,23)),1,0))</f>
        <v>4</v>
      </c>
    </row>
    <row r="9" spans="1:20" s="84" customFormat="1" ht="21" customHeight="1">
      <c r="A9" s="89" t="s">
        <v>205</v>
      </c>
      <c r="B9" s="234">
        <f ca="1">IF(OFFSET(INDIRECT($T$1&amp;"!"&amp;ADDRESS(1,15)),1,0)="","",OFFSET(INDIRECT($T$1&amp;"!"&amp;ADDRESS(1,15)),1,0))</f>
        <v>80</v>
      </c>
      <c r="C9" s="234"/>
      <c r="D9" s="132" t="s">
        <v>570</v>
      </c>
      <c r="E9" s="136" t="s">
        <v>584</v>
      </c>
      <c r="F9" s="235" t="s">
        <v>206</v>
      </c>
      <c r="G9" s="236"/>
      <c r="H9" s="136" t="s">
        <v>588</v>
      </c>
    </row>
    <row r="10" spans="1:20" s="84" customFormat="1" ht="22.15" customHeight="1">
      <c r="A10" s="89" t="s">
        <v>207</v>
      </c>
      <c r="B10" s="131" t="s">
        <v>208</v>
      </c>
      <c r="C10" s="131" t="s">
        <v>209</v>
      </c>
      <c r="D10" s="131" t="s">
        <v>210</v>
      </c>
      <c r="E10" s="131" t="s">
        <v>211</v>
      </c>
      <c r="F10" s="131" t="s">
        <v>212</v>
      </c>
      <c r="G10" s="131" t="s">
        <v>213</v>
      </c>
      <c r="H10" s="133" t="s">
        <v>584</v>
      </c>
    </row>
    <row r="11" spans="1:20" s="84" customFormat="1" ht="22.15" customHeight="1">
      <c r="A11" s="89" t="s">
        <v>214</v>
      </c>
      <c r="B11" s="131" t="s">
        <v>208</v>
      </c>
      <c r="C11" s="131" t="s">
        <v>571</v>
      </c>
      <c r="D11" s="234" t="s">
        <v>584</v>
      </c>
      <c r="E11" s="234"/>
      <c r="F11" s="131" t="s">
        <v>572</v>
      </c>
      <c r="G11" s="235" t="s">
        <v>584</v>
      </c>
      <c r="H11" s="236"/>
    </row>
    <row r="12" spans="1:20" s="84" customFormat="1" ht="21" customHeight="1">
      <c r="A12" s="89" t="s">
        <v>215</v>
      </c>
      <c r="B12" s="234" t="s">
        <v>584</v>
      </c>
      <c r="C12" s="234"/>
      <c r="D12" s="238" t="s">
        <v>216</v>
      </c>
      <c r="E12" s="238"/>
      <c r="F12" s="238"/>
      <c r="G12" s="238"/>
      <c r="H12" s="238"/>
    </row>
    <row r="13" spans="1:20" s="84" customFormat="1" ht="22.15" customHeight="1">
      <c r="A13" s="233" t="s">
        <v>217</v>
      </c>
      <c r="B13" s="233"/>
      <c r="C13" s="233"/>
      <c r="D13" s="233"/>
      <c r="E13" s="233"/>
      <c r="F13" s="233"/>
      <c r="G13" s="233"/>
      <c r="H13" s="233"/>
    </row>
    <row r="14" spans="1:20" s="84" customFormat="1" ht="19.5" customHeight="1">
      <c r="A14" s="233" t="s">
        <v>218</v>
      </c>
      <c r="B14" s="233"/>
      <c r="C14" s="233"/>
      <c r="D14" s="233"/>
      <c r="E14" s="233"/>
      <c r="F14" s="233"/>
      <c r="G14" s="233"/>
      <c r="H14" s="233"/>
    </row>
    <row r="15" spans="1:20" s="84" customFormat="1" ht="20.25" customHeight="1">
      <c r="A15" s="239" t="s">
        <v>219</v>
      </c>
      <c r="B15" s="239"/>
      <c r="C15" s="239"/>
      <c r="D15" s="239"/>
      <c r="E15" s="89" t="s">
        <v>220</v>
      </c>
      <c r="F15" s="240" t="s">
        <v>221</v>
      </c>
      <c r="G15" s="241"/>
      <c r="H15" s="89" t="s">
        <v>3</v>
      </c>
    </row>
    <row r="16" spans="1:20" s="84" customFormat="1" ht="21" customHeight="1">
      <c r="A16" s="233" t="s">
        <v>222</v>
      </c>
      <c r="B16" s="233"/>
      <c r="C16" s="233"/>
      <c r="D16" s="233"/>
      <c r="E16" s="89"/>
      <c r="F16" s="240"/>
      <c r="G16" s="241"/>
      <c r="H16" s="89"/>
    </row>
    <row r="17" spans="1:8" s="84" customFormat="1" ht="21" customHeight="1">
      <c r="A17" s="233" t="s">
        <v>223</v>
      </c>
      <c r="B17" s="233"/>
      <c r="C17" s="233"/>
      <c r="D17" s="233"/>
      <c r="E17" s="89"/>
      <c r="F17" s="240"/>
      <c r="G17" s="241"/>
      <c r="H17" s="89" t="s">
        <v>224</v>
      </c>
    </row>
    <row r="18" spans="1:8" s="84" customFormat="1" ht="21" customHeight="1">
      <c r="A18" s="233" t="s">
        <v>225</v>
      </c>
      <c r="B18" s="233"/>
      <c r="C18" s="233"/>
      <c r="D18" s="233"/>
      <c r="E18" s="89"/>
      <c r="F18" s="240"/>
      <c r="G18" s="241"/>
      <c r="H18" s="89" t="s">
        <v>224</v>
      </c>
    </row>
    <row r="19" spans="1:8" s="84" customFormat="1" ht="21" customHeight="1">
      <c r="A19" s="233" t="s">
        <v>226</v>
      </c>
      <c r="B19" s="233"/>
      <c r="C19" s="233"/>
      <c r="D19" s="233"/>
      <c r="E19" s="89"/>
      <c r="F19" s="240"/>
      <c r="G19" s="241"/>
      <c r="H19" s="89"/>
    </row>
    <row r="20" spans="1:8" s="84" customFormat="1" ht="21" customHeight="1">
      <c r="A20" s="233" t="s">
        <v>227</v>
      </c>
      <c r="B20" s="233"/>
      <c r="C20" s="233"/>
      <c r="D20" s="233"/>
      <c r="E20" s="89"/>
      <c r="F20" s="240"/>
      <c r="G20" s="241"/>
      <c r="H20" s="89" t="s">
        <v>224</v>
      </c>
    </row>
    <row r="21" spans="1:8" s="84" customFormat="1" ht="21" customHeight="1">
      <c r="A21" s="233" t="s">
        <v>228</v>
      </c>
      <c r="B21" s="233"/>
      <c r="C21" s="233"/>
      <c r="D21" s="233"/>
      <c r="E21" s="89"/>
      <c r="F21" s="240"/>
      <c r="G21" s="241"/>
      <c r="H21" s="89"/>
    </row>
    <row r="22" spans="1:8" s="84" customFormat="1" ht="21" customHeight="1">
      <c r="A22" s="233" t="s">
        <v>229</v>
      </c>
      <c r="B22" s="233"/>
      <c r="C22" s="233"/>
      <c r="D22" s="233"/>
      <c r="E22" s="89"/>
      <c r="F22" s="240"/>
      <c r="G22" s="241"/>
      <c r="H22" s="89"/>
    </row>
    <row r="23" spans="1:8" s="84" customFormat="1" ht="21" customHeight="1">
      <c r="A23" s="233" t="s">
        <v>230</v>
      </c>
      <c r="B23" s="233"/>
      <c r="C23" s="233"/>
      <c r="D23" s="233"/>
      <c r="E23" s="89"/>
      <c r="F23" s="240"/>
      <c r="G23" s="241"/>
      <c r="H23" s="89"/>
    </row>
    <row r="24" spans="1:8" s="84" customFormat="1" ht="21" customHeight="1">
      <c r="A24" s="233" t="s">
        <v>231</v>
      </c>
      <c r="B24" s="233"/>
      <c r="C24" s="233"/>
      <c r="D24" s="233"/>
      <c r="E24" s="89"/>
      <c r="F24" s="240"/>
      <c r="G24" s="241"/>
      <c r="H24" s="89"/>
    </row>
    <row r="25" spans="1:8" s="84" customFormat="1" ht="21" customHeight="1">
      <c r="A25" s="233" t="s">
        <v>232</v>
      </c>
      <c r="B25" s="233"/>
      <c r="C25" s="233"/>
      <c r="D25" s="233"/>
      <c r="E25" s="89"/>
      <c r="F25" s="240"/>
      <c r="G25" s="241"/>
      <c r="H25" s="89"/>
    </row>
    <row r="26" spans="1:8" s="84" customFormat="1" ht="21" customHeight="1">
      <c r="A26" s="233" t="s">
        <v>233</v>
      </c>
      <c r="B26" s="233"/>
      <c r="C26" s="233"/>
      <c r="D26" s="233"/>
      <c r="E26" s="89"/>
      <c r="F26" s="240"/>
      <c r="G26" s="241"/>
      <c r="H26" s="89"/>
    </row>
    <row r="27" spans="1:8" s="84" customFormat="1" ht="21" customHeight="1">
      <c r="A27" s="233" t="s">
        <v>234</v>
      </c>
      <c r="B27" s="233"/>
      <c r="C27" s="233"/>
      <c r="D27" s="233"/>
      <c r="E27" s="89"/>
      <c r="F27" s="240"/>
      <c r="G27" s="241"/>
      <c r="H27" s="89"/>
    </row>
    <row r="28" spans="1:8" s="84" customFormat="1" ht="21" customHeight="1">
      <c r="A28" s="233" t="s">
        <v>235</v>
      </c>
      <c r="B28" s="233"/>
      <c r="C28" s="233"/>
      <c r="D28" s="233"/>
      <c r="E28" s="89"/>
      <c r="F28" s="240"/>
      <c r="G28" s="241"/>
      <c r="H28" s="89"/>
    </row>
    <row r="29" spans="1:8" s="84" customFormat="1" ht="21" customHeight="1">
      <c r="A29" s="233" t="s">
        <v>236</v>
      </c>
      <c r="B29" s="233"/>
      <c r="C29" s="233"/>
      <c r="D29" s="233"/>
      <c r="E29" s="89"/>
      <c r="F29" s="240"/>
      <c r="G29" s="241"/>
      <c r="H29" s="89"/>
    </row>
    <row r="30" spans="1:8" s="84" customFormat="1" ht="21" customHeight="1">
      <c r="A30" s="242" t="s">
        <v>237</v>
      </c>
      <c r="B30" s="242"/>
      <c r="C30" s="242"/>
      <c r="D30" s="242"/>
      <c r="E30" s="89"/>
      <c r="F30" s="240"/>
      <c r="G30" s="241"/>
      <c r="H30" s="89"/>
    </row>
    <row r="31" spans="1:8" s="84" customFormat="1" ht="21" customHeight="1">
      <c r="A31" s="233" t="s">
        <v>238</v>
      </c>
      <c r="B31" s="233"/>
      <c r="C31" s="233"/>
      <c r="D31" s="233"/>
      <c r="E31" s="89"/>
      <c r="F31" s="240"/>
      <c r="G31" s="241"/>
      <c r="H31" s="89"/>
    </row>
    <row r="32" spans="1:8" s="84" customFormat="1" ht="21" customHeight="1">
      <c r="A32" s="233" t="s">
        <v>239</v>
      </c>
      <c r="B32" s="233"/>
      <c r="C32" s="233"/>
      <c r="D32" s="233"/>
      <c r="E32" s="89"/>
      <c r="F32" s="240"/>
      <c r="G32" s="241"/>
      <c r="H32" s="89"/>
    </row>
    <row r="33" spans="1:8" s="84" customFormat="1" ht="22.15" customHeight="1">
      <c r="A33" s="89" t="s">
        <v>240</v>
      </c>
      <c r="B33" s="239" t="s">
        <v>241</v>
      </c>
      <c r="C33" s="239"/>
      <c r="D33" s="239"/>
      <c r="E33" s="233" t="s">
        <v>242</v>
      </c>
      <c r="F33" s="233"/>
      <c r="G33" s="233"/>
      <c r="H33" s="233"/>
    </row>
    <row r="34" spans="1:8" s="84" customFormat="1" ht="22.15" customHeight="1">
      <c r="A34" s="89" t="s">
        <v>243</v>
      </c>
      <c r="B34" s="239" t="s">
        <v>241</v>
      </c>
      <c r="C34" s="239"/>
      <c r="D34" s="239"/>
      <c r="E34" s="233" t="s">
        <v>242</v>
      </c>
      <c r="F34" s="233"/>
      <c r="G34" s="233"/>
      <c r="H34" s="233"/>
    </row>
    <row r="35" spans="1:8" s="84" customFormat="1" ht="22.15" customHeight="1">
      <c r="A35" s="89" t="s">
        <v>244</v>
      </c>
      <c r="B35" s="239" t="s">
        <v>241</v>
      </c>
      <c r="C35" s="239"/>
      <c r="D35" s="239"/>
      <c r="E35" s="233" t="s">
        <v>242</v>
      </c>
      <c r="F35" s="233"/>
      <c r="G35" s="233"/>
      <c r="H35" s="233"/>
    </row>
    <row r="36" spans="1:8" s="84" customFormat="1" ht="22.15" customHeight="1">
      <c r="A36" s="233" t="s">
        <v>245</v>
      </c>
      <c r="B36" s="233"/>
      <c r="C36" s="233"/>
      <c r="D36" s="233"/>
      <c r="E36" s="233"/>
      <c r="F36" s="233"/>
      <c r="G36" s="233"/>
      <c r="H36" s="233"/>
    </row>
    <row r="37" spans="1:8" s="83" customFormat="1" ht="11.25">
      <c r="A37" s="90"/>
      <c r="B37" s="90"/>
      <c r="C37" s="90"/>
      <c r="D37" s="90"/>
      <c r="E37" s="90"/>
      <c r="F37" s="90"/>
      <c r="G37" s="90"/>
      <c r="H37" s="90"/>
    </row>
    <row r="38" spans="1:8" s="83" customFormat="1" ht="11.25">
      <c r="A38" s="90"/>
      <c r="B38" s="90"/>
      <c r="C38" s="90"/>
      <c r="D38" s="90"/>
      <c r="E38" s="90"/>
      <c r="F38" s="90"/>
      <c r="G38" s="90"/>
      <c r="H38" s="90"/>
    </row>
    <row r="39" spans="1:8" s="83" customFormat="1" ht="11.25">
      <c r="A39" s="90"/>
      <c r="B39" s="90"/>
      <c r="C39" s="90"/>
      <c r="D39" s="90"/>
      <c r="E39" s="90"/>
      <c r="F39" s="90"/>
      <c r="G39" s="90"/>
      <c r="H39" s="90"/>
    </row>
  </sheetData>
  <mergeCells count="65">
    <mergeCell ref="B34:D34"/>
    <mergeCell ref="E34:H34"/>
    <mergeCell ref="B35:D35"/>
    <mergeCell ref="E35:H35"/>
    <mergeCell ref="A36:H36"/>
    <mergeCell ref="A31:D31"/>
    <mergeCell ref="F31:G31"/>
    <mergeCell ref="A32:D32"/>
    <mergeCell ref="F32:G32"/>
    <mergeCell ref="B33:D33"/>
    <mergeCell ref="E33:H33"/>
    <mergeCell ref="A28:D28"/>
    <mergeCell ref="F28:G28"/>
    <mergeCell ref="A29:D29"/>
    <mergeCell ref="F29:G29"/>
    <mergeCell ref="A30:D30"/>
    <mergeCell ref="F30:G30"/>
    <mergeCell ref="A25:D25"/>
    <mergeCell ref="F25:G25"/>
    <mergeCell ref="A26:D26"/>
    <mergeCell ref="F26:G26"/>
    <mergeCell ref="A27:D27"/>
    <mergeCell ref="F27:G27"/>
    <mergeCell ref="A22:D22"/>
    <mergeCell ref="F22:G22"/>
    <mergeCell ref="A23:D23"/>
    <mergeCell ref="F23:G23"/>
    <mergeCell ref="A24:D24"/>
    <mergeCell ref="F24:G24"/>
    <mergeCell ref="A19:D19"/>
    <mergeCell ref="F19:G19"/>
    <mergeCell ref="A20:D20"/>
    <mergeCell ref="F20:G20"/>
    <mergeCell ref="A21:D21"/>
    <mergeCell ref="F21:G21"/>
    <mergeCell ref="A16:D16"/>
    <mergeCell ref="F16:G16"/>
    <mergeCell ref="A17:D17"/>
    <mergeCell ref="F17:G17"/>
    <mergeCell ref="A18:D18"/>
    <mergeCell ref="F18:G18"/>
    <mergeCell ref="B12:C12"/>
    <mergeCell ref="D12:H12"/>
    <mergeCell ref="A13:H13"/>
    <mergeCell ref="A14:H14"/>
    <mergeCell ref="A15:D15"/>
    <mergeCell ref="F15:G15"/>
    <mergeCell ref="B8:C8"/>
    <mergeCell ref="F8:G8"/>
    <mergeCell ref="B9:C9"/>
    <mergeCell ref="F9:G9"/>
    <mergeCell ref="D11:E11"/>
    <mergeCell ref="G11:H11"/>
    <mergeCell ref="B5:C5"/>
    <mergeCell ref="F5:G5"/>
    <mergeCell ref="B6:C6"/>
    <mergeCell ref="F6:G6"/>
    <mergeCell ref="B7:C7"/>
    <mergeCell ref="F7:G7"/>
    <mergeCell ref="A1:H1"/>
    <mergeCell ref="B2:C2"/>
    <mergeCell ref="F2:G2"/>
    <mergeCell ref="A3:H3"/>
    <mergeCell ref="B4:C4"/>
    <mergeCell ref="F4:G4"/>
  </mergeCells>
  <phoneticPr fontId="93" type="noConversion"/>
  <pageMargins left="0.719444444444444" right="0.23958333333333301" top="0.65972222222222199" bottom="0.45" header="0.3" footer="0.3"/>
  <pageSetup paperSize="9" orientation="portrait" r:id="rId1"/>
</worksheet>
</file>

<file path=xl/worksheets/sheet8.xml><?xml version="1.0" encoding="utf-8"?>
<worksheet xmlns="http://schemas.openxmlformats.org/spreadsheetml/2006/main" xmlns:r="http://schemas.openxmlformats.org/officeDocument/2006/relationships">
  <sheetPr codeName="Sheet9">
    <tabColor rgb="FFFF0000"/>
  </sheetPr>
  <dimension ref="D1:S14"/>
  <sheetViews>
    <sheetView showGridLines="0" view="pageBreakPreview" zoomScale="98" zoomScaleNormal="100" zoomScaleSheetLayoutView="98" workbookViewId="0">
      <selection activeCell="I9" sqref="I9"/>
    </sheetView>
  </sheetViews>
  <sheetFormatPr defaultColWidth="9" defaultRowHeight="13.5"/>
  <cols>
    <col min="1" max="2" width="9" style="1"/>
    <col min="3" max="3" width="11.875" style="1" customWidth="1"/>
    <col min="4" max="4" width="24" style="1" customWidth="1"/>
    <col min="5" max="5" width="14.625" style="1" customWidth="1"/>
    <col min="6" max="6" width="26.375" style="1" customWidth="1"/>
    <col min="7" max="17" width="9" style="1"/>
    <col min="18" max="18" width="15.875" style="1" customWidth="1"/>
    <col min="19" max="16384" width="9" style="1"/>
  </cols>
  <sheetData>
    <row r="1" spans="4:19" ht="20.25" customHeight="1">
      <c r="R1" s="82"/>
      <c r="S1" s="82" t="s">
        <v>246</v>
      </c>
    </row>
    <row r="2" spans="4:19" ht="12" customHeight="1"/>
    <row r="3" spans="4:19" ht="12.75" hidden="1" customHeight="1"/>
    <row r="4" spans="4:19" hidden="1"/>
    <row r="5" spans="4:19" hidden="1"/>
    <row r="8" spans="4:19" ht="19.5" customHeight="1"/>
    <row r="9" spans="4:19" ht="26.25" customHeight="1">
      <c r="D9" s="80" t="str">
        <f ca="1">IF(OFFSET(INDIRECT($S$1&amp;"!"&amp;ADDRESS(1,1)),1,0)="","",OFFSET(INDIRECT($S$1&amp;"!"&amp;ADDRESS(1,1)),1,0))</f>
        <v>赵乔娜</v>
      </c>
      <c r="E9" s="81"/>
      <c r="F9" s="80">
        <f ca="1">IF(OFFSET(INDIRECT($S$1&amp;"!"&amp;ADDRESS(1,25)),1,0)="","",OFFSET(INDIRECT($S$1&amp;"!"&amp;ADDRESS(1,25)),1,0))</f>
        <v>139</v>
      </c>
    </row>
    <row r="10" spans="4:19" ht="51" customHeight="1">
      <c r="D10" s="80" t="str">
        <f ca="1">IF(OFFSET(INDIRECT($S$1&amp;"!"&amp;ADDRESS(1,24)),1,0)="","",OFFSET(INDIRECT($S$1&amp;"!"&amp;ADDRESS(1,24)),1,0))</f>
        <v>山西省潞城市</v>
      </c>
      <c r="E10" s="81"/>
      <c r="F10" s="80">
        <f ca="1">IF(OFFSET(INDIRECT($S$1&amp;"!"&amp;ADDRESS(1,26)),1,0)="","",OFFSET(INDIRECT($S$1&amp;"!"&amp;ADDRESS(1,26)),1,0))</f>
        <v>47500</v>
      </c>
    </row>
    <row r="11" spans="4:19" ht="3" hidden="1" customHeight="1">
      <c r="D11" s="80"/>
      <c r="E11" s="81"/>
      <c r="F11" s="80"/>
    </row>
    <row r="12" spans="4:19" ht="13.5" customHeight="1">
      <c r="D12" s="80" t="str">
        <f ca="1">IF(OFFSET(INDIRECT($S$1&amp;"!"&amp;ADDRESS(1,3)),1,0)="","",OFFSET(INDIRECT($S$1&amp;"!"&amp;ADDRESS(1,3)),1,0))</f>
        <v>晋D38831</v>
      </c>
      <c r="E12" s="81"/>
      <c r="F12" s="80" t="str">
        <f ca="1">IF(OFFSET(INDIRECT($S$1&amp;"!"&amp;ADDRESS(1,11)),1,0)="","",OFFSET(INDIRECT($S$1&amp;"!"&amp;ADDRESS(1,11)),1,0))&amp;"/"&amp;IF(OFFSET(INDIRECT($S$1&amp;"!"&amp;ADDRESS(1,12)),1,0)="","",OFFSET(INDIRECT($S$1&amp;"!"&amp;ADDRESS(1,12)),1,0))</f>
        <v>欧曼/BJ4253SNFKB-AC</v>
      </c>
    </row>
    <row r="13" spans="4:19">
      <c r="D13" s="81"/>
      <c r="E13" s="81"/>
      <c r="F13" s="81"/>
    </row>
    <row r="14" spans="4:19" ht="33" customHeight="1">
      <c r="D14" s="80" t="s">
        <v>247</v>
      </c>
    </row>
  </sheetData>
  <phoneticPr fontId="93" type="noConversion"/>
  <pageMargins left="0" right="0" top="0" bottom="0" header="0" footer="0"/>
  <pageSetup paperSize="9" orientation="portrait" horizontalDpi="1200" verticalDpi="1200" r:id="rId1"/>
</worksheet>
</file>

<file path=xl/worksheets/sheet9.xml><?xml version="1.0" encoding="utf-8"?>
<worksheet xmlns="http://schemas.openxmlformats.org/spreadsheetml/2006/main" xmlns:r="http://schemas.openxmlformats.org/officeDocument/2006/relationships">
  <sheetPr codeName="Sheet5">
    <tabColor rgb="FFFF0000"/>
  </sheetPr>
  <dimension ref="A1:S43"/>
  <sheetViews>
    <sheetView showGridLines="0" view="pageBreakPreview" zoomScaleNormal="100" zoomScaleSheetLayoutView="100" workbookViewId="0">
      <selection activeCell="F11" sqref="F11:G11"/>
    </sheetView>
  </sheetViews>
  <sheetFormatPr defaultColWidth="9" defaultRowHeight="13.5"/>
  <cols>
    <col min="1" max="1" width="6.5" style="65" customWidth="1"/>
    <col min="2" max="2" width="13.375" style="65" customWidth="1"/>
    <col min="3" max="3" width="11.75" style="65" customWidth="1"/>
    <col min="4" max="4" width="11.5" style="65" customWidth="1"/>
    <col min="5" max="5" width="6.875" style="65" customWidth="1"/>
    <col min="6" max="6" width="15.75" style="65" customWidth="1"/>
    <col min="7" max="7" width="15.625" style="65" customWidth="1"/>
    <col min="8" max="8" width="10.5" style="65" customWidth="1"/>
    <col min="9" max="9" width="18.875" style="64" customWidth="1"/>
    <col min="10" max="17" width="9" style="65"/>
    <col min="18" max="18" width="18.625" style="65" customWidth="1"/>
    <col min="19" max="16384" width="9" style="65"/>
  </cols>
  <sheetData>
    <row r="1" spans="1:19" ht="31.5" customHeight="1">
      <c r="A1" s="243" t="s">
        <v>248</v>
      </c>
      <c r="B1" s="243"/>
      <c r="C1" s="243"/>
      <c r="D1" s="243"/>
      <c r="E1" s="243"/>
      <c r="F1" s="243"/>
      <c r="G1" s="243"/>
      <c r="H1" s="243"/>
      <c r="R1" s="34"/>
      <c r="S1" s="34" t="s">
        <v>246</v>
      </c>
    </row>
    <row r="2" spans="1:19" ht="25.5" customHeight="1">
      <c r="A2" s="244" t="s">
        <v>249</v>
      </c>
      <c r="B2" s="244"/>
      <c r="C2" s="245" t="s">
        <v>250</v>
      </c>
      <c r="D2" s="245"/>
      <c r="E2" s="245"/>
      <c r="F2" s="245"/>
      <c r="G2" s="245"/>
      <c r="H2" s="245"/>
    </row>
    <row r="3" spans="1:19" ht="24.95" customHeight="1">
      <c r="A3" s="246" t="s">
        <v>251</v>
      </c>
      <c r="B3" s="246"/>
      <c r="C3" s="246" t="str">
        <f ca="1">IF(OFFSET(INDIRECT($S$1&amp;"!"&amp;ADDRESS(1,3)),1,0)="","",OFFSET(INDIRECT($S$1&amp;"!"&amp;ADDRESS(1,3)),1,0))</f>
        <v>晋D38831</v>
      </c>
      <c r="D3" s="246"/>
      <c r="E3" s="246" t="s">
        <v>252</v>
      </c>
      <c r="F3" s="246"/>
      <c r="G3" s="246">
        <v>234567890</v>
      </c>
      <c r="H3" s="246"/>
    </row>
    <row r="4" spans="1:19" ht="24.95" customHeight="1">
      <c r="A4" s="246" t="s">
        <v>253</v>
      </c>
      <c r="B4" s="246"/>
      <c r="C4" s="246" t="str">
        <f ca="1">IF(OFFSET(INDIRECT($S$1&amp;"!"&amp;ADDRESS(1,1)),1,0)="","",OFFSET(INDIRECT($S$1&amp;"!"&amp;ADDRESS(1,1)),1,0))</f>
        <v>赵乔娜</v>
      </c>
      <c r="D4" s="246"/>
      <c r="E4" s="246"/>
      <c r="F4" s="246"/>
      <c r="G4" s="246"/>
      <c r="H4" s="246"/>
    </row>
    <row r="5" spans="1:19" ht="24.95" customHeight="1">
      <c r="A5" s="246" t="s">
        <v>254</v>
      </c>
      <c r="B5" s="246"/>
      <c r="C5" s="246" t="s">
        <v>255</v>
      </c>
      <c r="D5" s="246"/>
      <c r="E5" s="246"/>
      <c r="F5" s="246"/>
      <c r="G5" s="246"/>
      <c r="H5" s="246"/>
      <c r="I5" s="79"/>
      <c r="J5" s="73"/>
      <c r="K5" s="73"/>
    </row>
    <row r="6" spans="1:19" ht="24.95" customHeight="1">
      <c r="A6" s="75" t="s">
        <v>1</v>
      </c>
      <c r="B6" s="75" t="s">
        <v>256</v>
      </c>
      <c r="C6" s="246" t="s">
        <v>257</v>
      </c>
      <c r="D6" s="246"/>
      <c r="E6" s="246"/>
      <c r="F6" s="247" t="s">
        <v>258</v>
      </c>
      <c r="G6" s="248"/>
      <c r="H6" s="75" t="s">
        <v>259</v>
      </c>
      <c r="J6" s="73"/>
      <c r="K6" s="73"/>
    </row>
    <row r="7" spans="1:19" ht="31.5" customHeight="1">
      <c r="A7" s="75">
        <v>1</v>
      </c>
      <c r="B7" s="76" t="s">
        <v>260</v>
      </c>
      <c r="C7" s="249" t="s">
        <v>261</v>
      </c>
      <c r="D7" s="249"/>
      <c r="E7" s="249"/>
      <c r="F7" s="247" t="str">
        <f ca="1">IF(OFFSET(INDIRECT($S$1&amp;"!"&amp;ADDRESS(1,11)),1,0)="","",OFFSET(INDIRECT($S$1&amp;"!"&amp;ADDRESS(1,11)),1,0))&amp;"/"&amp;IF(OFFSET(INDIRECT($S$1&amp;"!"&amp;ADDRESS(1,12)),1,0)="","",OFFSET(INDIRECT($S$1&amp;"!"&amp;ADDRESS(1,12)),1,0))</f>
        <v>欧曼/BJ4253SNFKB-AC</v>
      </c>
      <c r="G7" s="248"/>
      <c r="H7" s="77"/>
      <c r="J7" s="73"/>
      <c r="K7" s="73"/>
    </row>
    <row r="8" spans="1:19" ht="41.1" customHeight="1">
      <c r="A8" s="75">
        <v>2</v>
      </c>
      <c r="B8" s="78" t="s">
        <v>262</v>
      </c>
      <c r="C8" s="250" t="s">
        <v>263</v>
      </c>
      <c r="D8" s="250"/>
      <c r="E8" s="250"/>
      <c r="F8" s="247" t="str">
        <f ca="1">IF(OFFSET(INDIRECT($S$1&amp;"!"&amp;ADDRESS(1,18)),1,0)="","",OFFSET(INDIRECT($S$1&amp;"!"&amp;ADDRESS(1,18)),1,0))&amp;"人"</f>
        <v>2人</v>
      </c>
      <c r="G8" s="248"/>
      <c r="H8" s="77"/>
    </row>
    <row r="9" spans="1:19" ht="42.95" customHeight="1">
      <c r="A9" s="75">
        <v>3</v>
      </c>
      <c r="B9" s="76" t="s">
        <v>264</v>
      </c>
      <c r="C9" s="250" t="s">
        <v>265</v>
      </c>
      <c r="D9" s="250"/>
      <c r="E9" s="250"/>
      <c r="F9" s="251" t="str">
        <f ca="1">IF(OFFSET(INDIRECT($S$1&amp;"!"&amp;ADDRESS(1,19)),1,0)="","",OFFSET(INDIRECT($S$1&amp;"!"&amp;ADDRESS(1,19)),1,0))&amp;"   "&amp;IF(OFFSET(INDIRECT($S$1&amp;"!"&amp;ADDRESS(1,20)),1,0)="","",OFFSET(INDIRECT($S$1&amp;"!"&amp;ADDRESS(1,20)),1,0)&amp;"  "&amp;IF(OFFSET(INDIRECT($S$1&amp;"!"&amp;ADDRESS(1,21)),1,0)="","",OFFSET(INDIRECT($S$1&amp;"!"&amp;ADDRESS(1,21)),1,0)))&amp;"  mm"</f>
        <v>7000   2495  3550  mm</v>
      </c>
      <c r="G9" s="252"/>
      <c r="H9" s="77"/>
    </row>
    <row r="10" spans="1:19" ht="24.95" customHeight="1">
      <c r="A10" s="75">
        <v>4</v>
      </c>
      <c r="B10" s="76" t="s">
        <v>266</v>
      </c>
      <c r="C10" s="249" t="s">
        <v>267</v>
      </c>
      <c r="D10" s="249"/>
      <c r="E10" s="249"/>
      <c r="F10" s="251" t="str">
        <f ca="1">IF(OFFSET(INDIRECT($S$1&amp;"!"&amp;ADDRESS(1,17)),1,0)="","",OFFSET(INDIRECT($S$1&amp;"!"&amp;ADDRESS(1,17)),1,0))&amp;"kg"</f>
        <v>8805kg</v>
      </c>
      <c r="G10" s="252"/>
      <c r="H10" s="77"/>
      <c r="O10" s="74"/>
    </row>
    <row r="11" spans="1:19" ht="24.95" customHeight="1">
      <c r="A11" s="75">
        <v>5</v>
      </c>
      <c r="B11" s="76" t="s">
        <v>268</v>
      </c>
      <c r="C11" s="249" t="s">
        <v>269</v>
      </c>
      <c r="D11" s="249"/>
      <c r="E11" s="249"/>
      <c r="F11" s="251" t="str">
        <f ca="1">IF(OFFSET(INDIRECT($S$1&amp;"!"&amp;ADDRESS(1,16)),1,0)="","",OFFSET(INDIRECT($S$1&amp;"!"&amp;ADDRESS(1,16)),1,0))&amp;"kg"</f>
        <v>25000kg</v>
      </c>
      <c r="G11" s="252"/>
      <c r="H11" s="77"/>
    </row>
    <row r="12" spans="1:19" ht="24.95" customHeight="1">
      <c r="A12" s="75">
        <v>6</v>
      </c>
      <c r="B12" s="76" t="s">
        <v>41</v>
      </c>
      <c r="C12" s="249" t="s">
        <v>270</v>
      </c>
      <c r="D12" s="249"/>
      <c r="E12" s="249"/>
      <c r="F12" s="247" t="str">
        <f ca="1">IF(OFFSET(INDIRECT($S$1&amp;"!"&amp;ADDRESS(1,10)),1,0)="","",OFFSET(INDIRECT($S$1&amp;"!"&amp;ADDRESS(1,10)),1,0))</f>
        <v>ISGe5-400</v>
      </c>
      <c r="G12" s="248"/>
      <c r="H12" s="77"/>
    </row>
    <row r="13" spans="1:19" ht="24.95" customHeight="1">
      <c r="A13" s="75">
        <v>7</v>
      </c>
      <c r="B13" s="76" t="s">
        <v>271</v>
      </c>
      <c r="C13" s="249" t="s">
        <v>272</v>
      </c>
      <c r="D13" s="249"/>
      <c r="E13" s="249"/>
      <c r="F13" s="247" t="s">
        <v>273</v>
      </c>
      <c r="G13" s="248"/>
      <c r="H13" s="77"/>
    </row>
    <row r="14" spans="1:19" ht="39" customHeight="1">
      <c r="A14" s="75">
        <v>8</v>
      </c>
      <c r="B14" s="76" t="s">
        <v>274</v>
      </c>
      <c r="C14" s="253" t="s">
        <v>275</v>
      </c>
      <c r="D14" s="253"/>
      <c r="E14" s="253"/>
      <c r="F14" s="247" t="str">
        <f ca="1">IF(OFFSET(INDIRECT($S$1&amp;"!"&amp;ADDRESS(1,22)),1,0)="","",OFFSET(INDIRECT($S$1&amp;"!"&amp;ADDRESS(1,22)),1,0))</f>
        <v>6×4双后驱双后驻车</v>
      </c>
      <c r="G14" s="248"/>
      <c r="H14" s="77"/>
    </row>
    <row r="15" spans="1:19" ht="24.95" customHeight="1">
      <c r="A15" s="75">
        <v>9</v>
      </c>
      <c r="B15" s="76" t="s">
        <v>276</v>
      </c>
      <c r="C15" s="249" t="s">
        <v>277</v>
      </c>
      <c r="D15" s="249"/>
      <c r="E15" s="249"/>
      <c r="F15" s="251" t="str">
        <f ca="1">IF(OFFSET(INDIRECT($S$1&amp;"!"&amp;ADDRESS(1,23)),1,0)="","",OFFSET(INDIRECT($S$1&amp;"!"&amp;ADDRESS(1,23)),1,0))</f>
        <v>12R22.5 16PR</v>
      </c>
      <c r="G15" s="252"/>
      <c r="H15" s="77"/>
    </row>
    <row r="16" spans="1:19" ht="53.1" customHeight="1">
      <c r="A16" s="75">
        <v>10</v>
      </c>
      <c r="B16" s="78" t="s">
        <v>278</v>
      </c>
      <c r="C16" s="250" t="s">
        <v>279</v>
      </c>
      <c r="D16" s="250"/>
      <c r="E16" s="250"/>
      <c r="F16" s="251" t="s">
        <v>280</v>
      </c>
      <c r="G16" s="252"/>
      <c r="H16" s="77"/>
    </row>
    <row r="17" spans="1:8" ht="33.950000000000003" customHeight="1">
      <c r="A17" s="75">
        <v>11</v>
      </c>
      <c r="B17" s="78" t="s">
        <v>281</v>
      </c>
      <c r="C17" s="250" t="s">
        <v>282</v>
      </c>
      <c r="D17" s="250"/>
      <c r="E17" s="250"/>
      <c r="F17" s="247" t="s">
        <v>283</v>
      </c>
      <c r="G17" s="248"/>
      <c r="H17" s="77"/>
    </row>
    <row r="18" spans="1:8" ht="35.1" customHeight="1">
      <c r="A18" s="75">
        <v>12</v>
      </c>
      <c r="B18" s="76" t="s">
        <v>284</v>
      </c>
      <c r="C18" s="250" t="s">
        <v>285</v>
      </c>
      <c r="D18" s="250"/>
      <c r="E18" s="250"/>
      <c r="F18" s="247" t="s">
        <v>286</v>
      </c>
      <c r="G18" s="248"/>
      <c r="H18" s="77"/>
    </row>
    <row r="19" spans="1:8" ht="41.25" customHeight="1">
      <c r="A19" s="255" t="s">
        <v>287</v>
      </c>
      <c r="B19" s="256"/>
      <c r="C19" s="246" t="s">
        <v>288</v>
      </c>
      <c r="D19" s="256"/>
      <c r="E19" s="256"/>
      <c r="F19" s="257" t="s">
        <v>289</v>
      </c>
      <c r="G19" s="258"/>
      <c r="H19" s="259"/>
    </row>
    <row r="20" spans="1:8" ht="35.1" customHeight="1">
      <c r="A20" s="255"/>
      <c r="B20" s="256"/>
      <c r="C20" s="246"/>
      <c r="D20" s="256"/>
      <c r="E20" s="256"/>
      <c r="F20" s="260">
        <f ca="1">TODAY()</f>
        <v>43831</v>
      </c>
      <c r="G20" s="261"/>
      <c r="H20" s="262"/>
    </row>
    <row r="21" spans="1:8" ht="18.75" customHeight="1">
      <c r="A21" s="263" t="s">
        <v>290</v>
      </c>
      <c r="B21" s="263"/>
      <c r="C21" s="263"/>
      <c r="D21" s="263"/>
      <c r="E21" s="263"/>
      <c r="F21" s="263"/>
      <c r="G21" s="263"/>
      <c r="H21" s="263"/>
    </row>
    <row r="22" spans="1:8" ht="11.25" customHeight="1">
      <c r="A22" s="254" t="s">
        <v>291</v>
      </c>
      <c r="B22" s="254"/>
      <c r="C22" s="254"/>
      <c r="D22" s="254"/>
      <c r="E22" s="254"/>
      <c r="F22" s="254"/>
      <c r="G22" s="254"/>
      <c r="H22" s="254"/>
    </row>
    <row r="23" spans="1:8" ht="15.75" customHeight="1">
      <c r="A23" s="254" t="s">
        <v>292</v>
      </c>
      <c r="B23" s="254"/>
      <c r="C23" s="254"/>
      <c r="D23" s="254"/>
      <c r="E23" s="254"/>
      <c r="F23" s="254"/>
      <c r="G23" s="254"/>
      <c r="H23" s="254"/>
    </row>
    <row r="24" spans="1:8" ht="15.75" customHeight="1">
      <c r="A24" s="254" t="s">
        <v>293</v>
      </c>
      <c r="B24" s="254"/>
      <c r="C24" s="254"/>
      <c r="D24" s="254"/>
      <c r="E24" s="254"/>
      <c r="F24" s="254"/>
      <c r="G24" s="254"/>
      <c r="H24" s="254"/>
    </row>
    <row r="25" spans="1:8" ht="20.25" customHeight="1">
      <c r="A25" s="254" t="s">
        <v>294</v>
      </c>
      <c r="B25" s="254"/>
      <c r="C25" s="254"/>
      <c r="D25" s="254"/>
      <c r="E25" s="254"/>
      <c r="F25" s="254"/>
      <c r="G25" s="254"/>
      <c r="H25" s="254"/>
    </row>
    <row r="26" spans="1:8" ht="24.95" customHeight="1"/>
    <row r="27" spans="1:8" ht="24.95" customHeight="1"/>
    <row r="28" spans="1:8" ht="24.95" customHeight="1"/>
    <row r="29" spans="1:8" ht="24.95" customHeight="1"/>
    <row r="30" spans="1:8" ht="24.95" customHeight="1"/>
    <row r="31" spans="1:8" ht="24.95" customHeight="1"/>
    <row r="32" spans="1:8" ht="24.95" customHeight="1"/>
    <row r="33" ht="24.95" customHeight="1"/>
    <row r="34" ht="24.95" customHeight="1"/>
    <row r="35" ht="24.95" customHeight="1"/>
    <row r="36" ht="24.95" customHeight="1"/>
    <row r="37" ht="24.95" customHeight="1"/>
    <row r="38" ht="24.95" customHeight="1"/>
    <row r="39" ht="24.95" customHeight="1"/>
    <row r="40" ht="24.95" customHeight="1"/>
    <row r="41" ht="24.95" customHeight="1"/>
    <row r="42" ht="24.95" customHeight="1"/>
    <row r="43" ht="24.95" customHeight="1"/>
  </sheetData>
  <mergeCells count="48">
    <mergeCell ref="A24:H24"/>
    <mergeCell ref="A25:H25"/>
    <mergeCell ref="A19:A20"/>
    <mergeCell ref="B19:B20"/>
    <mergeCell ref="C19:C20"/>
    <mergeCell ref="D19:E20"/>
    <mergeCell ref="F19:H19"/>
    <mergeCell ref="F20:H20"/>
    <mergeCell ref="A21:H21"/>
    <mergeCell ref="A22:H22"/>
    <mergeCell ref="A23:H23"/>
    <mergeCell ref="C16:E16"/>
    <mergeCell ref="F16:G16"/>
    <mergeCell ref="C17:E17"/>
    <mergeCell ref="F17:G17"/>
    <mergeCell ref="C18:E18"/>
    <mergeCell ref="F18:G18"/>
    <mergeCell ref="C13:E13"/>
    <mergeCell ref="F13:G13"/>
    <mergeCell ref="C14:E14"/>
    <mergeCell ref="F14:G14"/>
    <mergeCell ref="C15:E15"/>
    <mergeCell ref="F15:G15"/>
    <mergeCell ref="C10:E10"/>
    <mergeCell ref="F10:G10"/>
    <mergeCell ref="C11:E11"/>
    <mergeCell ref="F11:G11"/>
    <mergeCell ref="C12:E12"/>
    <mergeCell ref="F12:G12"/>
    <mergeCell ref="C7:E7"/>
    <mergeCell ref="F7:G7"/>
    <mergeCell ref="C8:E8"/>
    <mergeCell ref="F8:G8"/>
    <mergeCell ref="C9:E9"/>
    <mergeCell ref="F9:G9"/>
    <mergeCell ref="A4:B4"/>
    <mergeCell ref="C4:H4"/>
    <mergeCell ref="A5:B5"/>
    <mergeCell ref="C5:H5"/>
    <mergeCell ref="C6:E6"/>
    <mergeCell ref="F6:G6"/>
    <mergeCell ref="A1:H1"/>
    <mergeCell ref="A2:B2"/>
    <mergeCell ref="C2:H2"/>
    <mergeCell ref="A3:B3"/>
    <mergeCell ref="C3:D3"/>
    <mergeCell ref="E3:F3"/>
    <mergeCell ref="G3:H3"/>
  </mergeCells>
  <phoneticPr fontId="93" type="noConversion"/>
  <pageMargins left="0.69930555555555596" right="0.48888888888888898"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sheetPr codeName="Sheet10">
    <tabColor rgb="FFFF0000"/>
  </sheetPr>
  <dimension ref="A1:S34"/>
  <sheetViews>
    <sheetView showGridLines="0" view="pageBreakPreview" zoomScaleNormal="100" zoomScaleSheetLayoutView="100" workbookViewId="0">
      <selection activeCell="F11" sqref="F11:G11"/>
    </sheetView>
  </sheetViews>
  <sheetFormatPr defaultColWidth="9" defaultRowHeight="13.5"/>
  <cols>
    <col min="1" max="1" width="6.5" style="65" customWidth="1"/>
    <col min="2" max="2" width="21.25" style="65" customWidth="1"/>
    <col min="3" max="3" width="11.75" style="65" customWidth="1"/>
    <col min="4" max="4" width="11.5" style="65" customWidth="1"/>
    <col min="5" max="5" width="38.75" style="65" customWidth="1"/>
    <col min="6" max="6" width="15.75" style="65" customWidth="1"/>
    <col min="7" max="7" width="13.5" style="65" customWidth="1"/>
    <col min="8" max="8" width="16.625" style="65" customWidth="1"/>
    <col min="9" max="9" width="18.875" style="64" customWidth="1"/>
    <col min="10" max="17" width="9" style="65"/>
    <col min="18" max="18" width="18.625" style="65" customWidth="1"/>
    <col min="19" max="16384" width="9" style="65"/>
  </cols>
  <sheetData>
    <row r="1" spans="1:19" ht="45" customHeight="1">
      <c r="A1" s="264" t="s">
        <v>295</v>
      </c>
      <c r="B1" s="264"/>
      <c r="C1" s="264"/>
      <c r="D1" s="264"/>
      <c r="E1" s="264"/>
      <c r="F1" s="264"/>
      <c r="G1" s="264"/>
      <c r="H1" s="264"/>
      <c r="R1" s="34"/>
      <c r="S1" s="34" t="s">
        <v>246</v>
      </c>
    </row>
    <row r="2" spans="1:19" s="63" customFormat="1" ht="25.5" customHeight="1">
      <c r="A2" s="265" t="s">
        <v>296</v>
      </c>
      <c r="B2" s="265"/>
      <c r="C2" s="265" t="str">
        <f ca="1">IF(OFFSET(INDIRECT($S$1&amp;"!"&amp;ADDRESS(1,1)),1,0)="","",OFFSET(INDIRECT($S$1&amp;"!"&amp;ADDRESS(1,1)),1,0))</f>
        <v>赵乔娜</v>
      </c>
      <c r="D2" s="265"/>
      <c r="E2" s="67" t="s">
        <v>297</v>
      </c>
      <c r="F2" s="66" t="str">
        <f ca="1">IF(OFFSET(INDIRECT($S$1&amp;"!"&amp;ADDRESS(1,3)),1,0)="","",OFFSET(INDIRECT($S$1&amp;"!"&amp;ADDRESS(1,3)),1,0))</f>
        <v>晋D38831</v>
      </c>
      <c r="G2" s="266">
        <f ca="1">NOW()</f>
        <v>43831.470274537038</v>
      </c>
      <c r="H2" s="266"/>
      <c r="I2" s="72"/>
    </row>
    <row r="3" spans="1:19" ht="32.1" customHeight="1">
      <c r="A3" s="68" t="s">
        <v>1</v>
      </c>
      <c r="B3" s="68" t="s">
        <v>256</v>
      </c>
      <c r="C3" s="267" t="s">
        <v>298</v>
      </c>
      <c r="D3" s="267"/>
      <c r="E3" s="267"/>
      <c r="F3" s="268" t="s">
        <v>258</v>
      </c>
      <c r="G3" s="269"/>
      <c r="H3" s="68" t="s">
        <v>259</v>
      </c>
      <c r="J3" s="73"/>
      <c r="K3" s="73"/>
    </row>
    <row r="4" spans="1:19" ht="27.95" customHeight="1">
      <c r="A4" s="69">
        <v>1</v>
      </c>
      <c r="B4" s="69" t="s">
        <v>260</v>
      </c>
      <c r="C4" s="270" t="s">
        <v>261</v>
      </c>
      <c r="D4" s="270"/>
      <c r="E4" s="270"/>
      <c r="F4" s="271" t="str">
        <f ca="1">IF(OFFSET(INDIRECT($S$1&amp;"!"&amp;ADDRESS(1,11)),1,0)="","",OFFSET(INDIRECT($S$1&amp;"!"&amp;ADDRESS(1,11)),1,0))&amp;"/"&amp;IF(OFFSET(INDIRECT($S$1&amp;"!"&amp;ADDRESS(1,12)),1,0)="","",OFFSET(INDIRECT($S$1&amp;"!"&amp;ADDRESS(1,12)),1,0))</f>
        <v>欧曼/BJ4253SNFKB-AC</v>
      </c>
      <c r="G4" s="272"/>
      <c r="H4" s="70"/>
      <c r="J4" s="73"/>
      <c r="K4" s="73"/>
    </row>
    <row r="5" spans="1:19" ht="27.95" customHeight="1">
      <c r="A5" s="69">
        <v>2</v>
      </c>
      <c r="B5" s="71" t="s">
        <v>262</v>
      </c>
      <c r="C5" s="273" t="s">
        <v>299</v>
      </c>
      <c r="D5" s="273"/>
      <c r="E5" s="273"/>
      <c r="F5" s="271" t="str">
        <f ca="1">IF(OFFSET(INDIRECT($S$1&amp;"!"&amp;ADDRESS(1,18)),1,0)="","",OFFSET(INDIRECT($S$1&amp;"!"&amp;ADDRESS(1,18)),1,0))&amp;"人"</f>
        <v>2人</v>
      </c>
      <c r="G5" s="272"/>
      <c r="H5" s="70"/>
    </row>
    <row r="6" spans="1:19" ht="27.95" customHeight="1">
      <c r="A6" s="69">
        <v>3</v>
      </c>
      <c r="B6" s="69" t="s">
        <v>264</v>
      </c>
      <c r="C6" s="273" t="s">
        <v>300</v>
      </c>
      <c r="D6" s="273"/>
      <c r="E6" s="273"/>
      <c r="F6" s="271" t="str">
        <f ca="1">IF(OFFSET(INDIRECT($S$1&amp;"!"&amp;ADDRESS(1,19)),1,0)="","",OFFSET(INDIRECT($S$1&amp;"!"&amp;ADDRESS(1,19)),1,0))&amp;" *"&amp;IF(OFFSET(INDIRECT($S$1&amp;"!"&amp;ADDRESS(1,20)),1,0)="","",OFFSET(INDIRECT($S$1&amp;"!"&amp;ADDRESS(1,20)),1,0)&amp;"*"&amp;IF(OFFSET(INDIRECT($S$1&amp;"!"&amp;ADDRESS(1,21)),1,0)="","",OFFSET(INDIRECT($S$1&amp;"!"&amp;ADDRESS(1,21)),1,0)))&amp;"  mm"</f>
        <v>7000 *2495*3550  mm</v>
      </c>
      <c r="G6" s="272"/>
      <c r="H6" s="70"/>
    </row>
    <row r="7" spans="1:19" ht="27.95" customHeight="1">
      <c r="A7" s="69">
        <v>4</v>
      </c>
      <c r="B7" s="69" t="s">
        <v>266</v>
      </c>
      <c r="C7" s="270" t="s">
        <v>267</v>
      </c>
      <c r="D7" s="270"/>
      <c r="E7" s="270"/>
      <c r="F7" s="271" t="str">
        <f ca="1">IF(OFFSET(INDIRECT($S$1&amp;"!"&amp;ADDRESS(1,17)),1,0)="","",OFFSET(INDIRECT($S$1&amp;"!"&amp;ADDRESS(1,17)),1,0))&amp;"kg"</f>
        <v>8805kg</v>
      </c>
      <c r="G7" s="272"/>
      <c r="H7" s="70"/>
      <c r="O7" s="74"/>
    </row>
    <row r="8" spans="1:19" ht="27.95" customHeight="1">
      <c r="A8" s="69">
        <v>5</v>
      </c>
      <c r="B8" s="69" t="s">
        <v>268</v>
      </c>
      <c r="C8" s="270" t="s">
        <v>269</v>
      </c>
      <c r="D8" s="270"/>
      <c r="E8" s="270"/>
      <c r="F8" s="271" t="str">
        <f ca="1">IF(OFFSET(INDIRECT($S$1&amp;"!"&amp;ADDRESS(1,16)),1,0)="","",OFFSET(INDIRECT($S$1&amp;"!"&amp;ADDRESS(1,16)),1,0))&amp;"kg"</f>
        <v>25000kg</v>
      </c>
      <c r="G8" s="272"/>
      <c r="H8" s="70"/>
    </row>
    <row r="9" spans="1:19" ht="27.95" customHeight="1">
      <c r="A9" s="69">
        <v>6</v>
      </c>
      <c r="B9" s="69" t="s">
        <v>41</v>
      </c>
      <c r="C9" s="270" t="s">
        <v>270</v>
      </c>
      <c r="D9" s="270"/>
      <c r="E9" s="270"/>
      <c r="F9" s="271" t="str">
        <f ca="1">IF(OFFSET(INDIRECT($S$1&amp;"!"&amp;ADDRESS(1,10)),1,0)="","",OFFSET(INDIRECT($S$1&amp;"!"&amp;ADDRESS(1,10)),1,0))</f>
        <v>ISGe5-400</v>
      </c>
      <c r="G9" s="272"/>
      <c r="H9" s="70"/>
    </row>
    <row r="10" spans="1:19" ht="27.95" customHeight="1">
      <c r="A10" s="69">
        <v>7</v>
      </c>
      <c r="B10" s="69" t="s">
        <v>271</v>
      </c>
      <c r="C10" s="270" t="s">
        <v>272</v>
      </c>
      <c r="D10" s="270"/>
      <c r="E10" s="270"/>
      <c r="F10" s="271" t="s">
        <v>301</v>
      </c>
      <c r="G10" s="272"/>
      <c r="H10" s="70"/>
    </row>
    <row r="11" spans="1:19" ht="27.95" customHeight="1">
      <c r="A11" s="69">
        <v>8</v>
      </c>
      <c r="B11" s="69" t="s">
        <v>274</v>
      </c>
      <c r="C11" s="273" t="s">
        <v>302</v>
      </c>
      <c r="D11" s="273"/>
      <c r="E11" s="273"/>
      <c r="F11" s="271" t="str">
        <f ca="1">IF(OFFSET(INDIRECT($S$1&amp;"!"&amp;ADDRESS(1,22)),1,0)="","",OFFSET(INDIRECT($S$1&amp;"!"&amp;ADDRESS(1,22)),1,0))</f>
        <v>6×4双后驱双后驻车</v>
      </c>
      <c r="G11" s="272"/>
      <c r="H11" s="70"/>
    </row>
    <row r="12" spans="1:19" ht="27.95" customHeight="1">
      <c r="A12" s="69">
        <v>9</v>
      </c>
      <c r="B12" s="69" t="s">
        <v>276</v>
      </c>
      <c r="C12" s="270" t="s">
        <v>277</v>
      </c>
      <c r="D12" s="270"/>
      <c r="E12" s="270"/>
      <c r="F12" s="271" t="str">
        <f ca="1">IF(OFFSET(INDIRECT($S$1&amp;"!"&amp;ADDRESS(1,23)),1,0)="","",OFFSET(INDIRECT($S$1&amp;"!"&amp;ADDRESS(1,23)),1,0))</f>
        <v>12R22.5 16PR</v>
      </c>
      <c r="G12" s="272"/>
      <c r="H12" s="70"/>
    </row>
    <row r="13" spans="1:19" ht="27.95" customHeight="1">
      <c r="A13" s="69">
        <v>10</v>
      </c>
      <c r="B13" s="71" t="s">
        <v>278</v>
      </c>
      <c r="C13" s="273" t="s">
        <v>303</v>
      </c>
      <c r="D13" s="273"/>
      <c r="E13" s="273"/>
      <c r="F13" s="271" t="s">
        <v>304</v>
      </c>
      <c r="G13" s="272"/>
      <c r="H13" s="70"/>
    </row>
    <row r="14" spans="1:19" s="64" customFormat="1" ht="27.95" customHeight="1">
      <c r="A14" s="69">
        <v>11</v>
      </c>
      <c r="B14" s="71" t="s">
        <v>281</v>
      </c>
      <c r="C14" s="273" t="s">
        <v>305</v>
      </c>
      <c r="D14" s="273"/>
      <c r="E14" s="273"/>
      <c r="F14" s="271" t="s">
        <v>306</v>
      </c>
      <c r="G14" s="272"/>
      <c r="H14" s="70"/>
      <c r="J14" s="65"/>
      <c r="K14" s="65"/>
      <c r="L14" s="65"/>
      <c r="M14" s="65"/>
      <c r="N14" s="65"/>
      <c r="O14" s="65"/>
      <c r="P14" s="65"/>
      <c r="Q14" s="65"/>
      <c r="R14" s="65"/>
      <c r="S14" s="65"/>
    </row>
    <row r="15" spans="1:19" s="64" customFormat="1" ht="27.95" customHeight="1">
      <c r="A15" s="69">
        <v>12</v>
      </c>
      <c r="B15" s="69" t="s">
        <v>284</v>
      </c>
      <c r="C15" s="273" t="s">
        <v>307</v>
      </c>
      <c r="D15" s="273"/>
      <c r="E15" s="273"/>
      <c r="F15" s="271" t="s">
        <v>308</v>
      </c>
      <c r="G15" s="272"/>
      <c r="H15" s="70"/>
      <c r="J15" s="65"/>
      <c r="K15" s="65"/>
      <c r="L15" s="65"/>
      <c r="M15" s="65"/>
      <c r="N15" s="65"/>
      <c r="O15" s="65"/>
      <c r="P15" s="65"/>
      <c r="Q15" s="65"/>
      <c r="R15" s="65"/>
      <c r="S15" s="65"/>
    </row>
    <row r="16" spans="1:19" s="64" customFormat="1" ht="24.95" customHeight="1">
      <c r="A16" s="276"/>
      <c r="B16" s="277"/>
      <c r="C16" s="277"/>
      <c r="D16" s="277"/>
      <c r="E16" s="278"/>
      <c r="F16" s="69" t="s">
        <v>309</v>
      </c>
      <c r="G16" s="274"/>
      <c r="H16" s="274"/>
      <c r="J16" s="65"/>
      <c r="K16" s="65"/>
      <c r="L16" s="65"/>
      <c r="M16" s="65"/>
      <c r="N16" s="65"/>
      <c r="O16" s="65"/>
      <c r="P16" s="65"/>
      <c r="Q16" s="65"/>
      <c r="R16" s="65"/>
      <c r="S16" s="65"/>
    </row>
    <row r="17" spans="1:19" s="64" customFormat="1" ht="24.95" customHeight="1">
      <c r="A17" s="279"/>
      <c r="B17" s="280"/>
      <c r="C17" s="280"/>
      <c r="D17" s="280"/>
      <c r="E17" s="281"/>
      <c r="F17" s="69" t="s">
        <v>289</v>
      </c>
      <c r="G17" s="275"/>
      <c r="H17" s="275"/>
      <c r="J17" s="65"/>
      <c r="K17" s="65"/>
      <c r="L17" s="65"/>
      <c r="M17" s="65"/>
      <c r="N17" s="65"/>
      <c r="O17" s="65"/>
      <c r="P17" s="65"/>
      <c r="Q17" s="65"/>
      <c r="R17" s="65"/>
      <c r="S17" s="65"/>
    </row>
    <row r="18" spans="1:19" s="64" customFormat="1" ht="24.95" customHeight="1">
      <c r="A18" s="65"/>
      <c r="B18" s="65"/>
      <c r="C18" s="65"/>
      <c r="D18" s="65"/>
      <c r="E18" s="65"/>
      <c r="F18" s="65"/>
      <c r="G18" s="65"/>
      <c r="H18" s="65"/>
      <c r="J18" s="65"/>
      <c r="K18" s="65"/>
      <c r="L18" s="65"/>
      <c r="M18" s="65"/>
      <c r="N18" s="65"/>
      <c r="O18" s="65"/>
      <c r="P18" s="65"/>
      <c r="Q18" s="65"/>
      <c r="R18" s="65"/>
      <c r="S18" s="65"/>
    </row>
    <row r="19" spans="1:19" s="64" customFormat="1" ht="24.95" customHeight="1">
      <c r="A19" s="65"/>
      <c r="B19" s="65"/>
      <c r="C19" s="65"/>
      <c r="D19" s="65"/>
      <c r="E19" s="65"/>
      <c r="F19" s="65"/>
      <c r="G19" s="65"/>
      <c r="H19" s="65"/>
      <c r="J19" s="65"/>
      <c r="K19" s="65"/>
      <c r="L19" s="65"/>
      <c r="M19" s="65"/>
      <c r="N19" s="65"/>
      <c r="O19" s="65"/>
      <c r="P19" s="65"/>
      <c r="Q19" s="65"/>
      <c r="R19" s="65"/>
      <c r="S19" s="65"/>
    </row>
    <row r="20" spans="1:19" s="64" customFormat="1" ht="24.95" customHeight="1">
      <c r="A20" s="65"/>
      <c r="B20" s="65"/>
      <c r="C20" s="65"/>
      <c r="D20" s="65"/>
      <c r="E20" s="65"/>
      <c r="F20" s="65"/>
      <c r="G20" s="65"/>
      <c r="H20" s="65"/>
      <c r="J20" s="65"/>
      <c r="K20" s="65"/>
      <c r="L20" s="65"/>
      <c r="M20" s="65"/>
      <c r="N20" s="65"/>
      <c r="O20" s="65"/>
      <c r="P20" s="65"/>
      <c r="Q20" s="65"/>
      <c r="R20" s="65"/>
      <c r="S20" s="65"/>
    </row>
    <row r="21" spans="1:19" s="64" customFormat="1" ht="24.95" customHeight="1">
      <c r="A21" s="65"/>
      <c r="B21" s="65"/>
      <c r="C21" s="65"/>
      <c r="D21" s="65"/>
      <c r="E21" s="65"/>
      <c r="F21" s="65"/>
      <c r="G21" s="65"/>
      <c r="H21" s="65"/>
      <c r="J21" s="65"/>
      <c r="K21" s="65"/>
      <c r="L21" s="65"/>
      <c r="M21" s="65"/>
      <c r="N21" s="65"/>
      <c r="O21" s="65"/>
      <c r="P21" s="65"/>
      <c r="Q21" s="65"/>
      <c r="R21" s="65"/>
      <c r="S21" s="65"/>
    </row>
    <row r="22" spans="1:19" s="64" customFormat="1" ht="24.95" customHeight="1">
      <c r="A22" s="65"/>
      <c r="B22" s="65"/>
      <c r="C22" s="65"/>
      <c r="D22" s="65"/>
      <c r="E22" s="65"/>
      <c r="F22" s="65"/>
      <c r="G22" s="65"/>
      <c r="H22" s="65"/>
      <c r="J22" s="65"/>
      <c r="K22" s="65"/>
      <c r="L22" s="65"/>
      <c r="M22" s="65"/>
      <c r="N22" s="65"/>
      <c r="O22" s="65"/>
      <c r="P22" s="65"/>
      <c r="Q22" s="65"/>
      <c r="R22" s="65"/>
      <c r="S22" s="65"/>
    </row>
    <row r="23" spans="1:19" s="64" customFormat="1" ht="24.95" customHeight="1">
      <c r="A23" s="65"/>
      <c r="B23" s="65"/>
      <c r="C23" s="65"/>
      <c r="D23" s="65"/>
      <c r="E23" s="65"/>
      <c r="F23" s="65"/>
      <c r="G23" s="65"/>
      <c r="H23" s="65"/>
      <c r="J23" s="65"/>
      <c r="K23" s="65"/>
      <c r="L23" s="65"/>
      <c r="M23" s="65"/>
      <c r="N23" s="65"/>
      <c r="O23" s="65"/>
      <c r="P23" s="65"/>
      <c r="Q23" s="65"/>
      <c r="R23" s="65"/>
      <c r="S23" s="65"/>
    </row>
    <row r="24" spans="1:19" ht="24.95" customHeight="1"/>
    <row r="25" spans="1:19" ht="24.95" customHeight="1"/>
    <row r="26" spans="1:19" ht="24.95" customHeight="1"/>
    <row r="27" spans="1:19" ht="24.95" customHeight="1"/>
    <row r="28" spans="1:19" ht="24.95" customHeight="1"/>
    <row r="29" spans="1:19" ht="24.95" customHeight="1"/>
    <row r="30" spans="1:19" ht="24.95" customHeight="1"/>
    <row r="31" spans="1:19" ht="24.95" customHeight="1"/>
    <row r="32" spans="1:19" ht="24.95" customHeight="1"/>
    <row r="33" ht="24.95" customHeight="1"/>
    <row r="34" ht="24.95" customHeight="1"/>
  </sheetData>
  <mergeCells count="33">
    <mergeCell ref="G16:G17"/>
    <mergeCell ref="H16:H17"/>
    <mergeCell ref="A16:E17"/>
    <mergeCell ref="C13:E13"/>
    <mergeCell ref="F13:G13"/>
    <mergeCell ref="C14:E14"/>
    <mergeCell ref="F14:G14"/>
    <mergeCell ref="C15:E15"/>
    <mergeCell ref="F15:G15"/>
    <mergeCell ref="C10:E10"/>
    <mergeCell ref="F10:G10"/>
    <mergeCell ref="C11:E11"/>
    <mergeCell ref="F11:G11"/>
    <mergeCell ref="C12:E12"/>
    <mergeCell ref="F12:G12"/>
    <mergeCell ref="C7:E7"/>
    <mergeCell ref="F7:G7"/>
    <mergeCell ref="C8:E8"/>
    <mergeCell ref="F8:G8"/>
    <mergeCell ref="C9:E9"/>
    <mergeCell ref="F9:G9"/>
    <mergeCell ref="C4:E4"/>
    <mergeCell ref="F4:G4"/>
    <mergeCell ref="C5:E5"/>
    <mergeCell ref="F5:G5"/>
    <mergeCell ref="C6:E6"/>
    <mergeCell ref="F6:G6"/>
    <mergeCell ref="A1:H1"/>
    <mergeCell ref="A2:B2"/>
    <mergeCell ref="C2:D2"/>
    <mergeCell ref="G2:H2"/>
    <mergeCell ref="C3:E3"/>
    <mergeCell ref="F3:G3"/>
  </mergeCells>
  <phoneticPr fontId="93" type="noConversion"/>
  <pageMargins left="0.69930555555555596" right="0.48888888888888898" top="0.65" bottom="0.48958333333333298" header="0.3" footer="0.3"/>
  <pageSetup paperSize="9" orientation="landscape" r:id="rId1"/>
</worksheet>
</file>

<file path=xl/worksheets/sheet11.xml><?xml version="1.0" encoding="utf-8"?>
<worksheet xmlns="http://schemas.openxmlformats.org/spreadsheetml/2006/main" xmlns:r="http://schemas.openxmlformats.org/officeDocument/2006/relationships">
  <sheetPr codeName="Sheet11">
    <tabColor rgb="FFFF0000"/>
  </sheetPr>
  <dimension ref="A1:S23"/>
  <sheetViews>
    <sheetView showGridLines="0" view="pageBreakPreview" topLeftCell="A7" zoomScaleNormal="100" zoomScaleSheetLayoutView="100" workbookViewId="0">
      <selection activeCell="J11" sqref="J11"/>
    </sheetView>
  </sheetViews>
  <sheetFormatPr defaultColWidth="9" defaultRowHeight="13.5"/>
  <cols>
    <col min="1" max="1" width="12.75" customWidth="1"/>
    <col min="2" max="2" width="7.75" customWidth="1"/>
    <col min="4" max="4" width="9.25" customWidth="1"/>
    <col min="5" max="5" width="14.125" customWidth="1"/>
    <col min="6" max="6" width="12.75" customWidth="1"/>
    <col min="7" max="7" width="22" customWidth="1"/>
  </cols>
  <sheetData>
    <row r="1" spans="1:19" ht="63.75" customHeight="1">
      <c r="A1" s="46"/>
      <c r="S1" s="34" t="s">
        <v>246</v>
      </c>
    </row>
    <row r="2" spans="1:19" ht="27">
      <c r="A2" s="282" t="s">
        <v>310</v>
      </c>
      <c r="B2" s="282"/>
      <c r="C2" s="282"/>
      <c r="D2" s="282"/>
      <c r="E2" s="282"/>
      <c r="F2" s="282"/>
      <c r="G2" s="282"/>
    </row>
    <row r="3" spans="1:19" ht="27">
      <c r="A3" s="46"/>
    </row>
    <row r="4" spans="1:19" ht="21.75" customHeight="1">
      <c r="A4" s="47" t="s">
        <v>311</v>
      </c>
      <c r="B4" s="283" t="str">
        <f ca="1">IF(OFFSET(INDIRECT($S$1&amp;"!"&amp;ADDRESS(1,3)),1,0)="","",OFFSET(INDIRECT($S$1&amp;"!"&amp;ADDRESS(1,3)),1,0))</f>
        <v>晋D38831</v>
      </c>
      <c r="C4" s="283"/>
      <c r="D4" s="48" t="s">
        <v>312</v>
      </c>
      <c r="E4" s="49" t="str">
        <f ca="1">IF(OFFSET(INDIRECT($S$1&amp;"!"&amp;ADDRESS(1,6)),1,0)="","",OFFSET(INDIRECT($S$1&amp;"!"&amp;ADDRESS(1,6)),1,0))</f>
        <v>大型汽车</v>
      </c>
      <c r="F4" s="48" t="s">
        <v>313</v>
      </c>
      <c r="G4" s="50" t="str">
        <f ca="1">IF(OFFSET(INDIRECT($S$1&amp;"!"&amp;ADDRESS(1,30)),1,0)="","",OFFSET(INDIRECT($S$1&amp;"!"&amp;ADDRESS(1,30)),1,0))</f>
        <v>140481004201901140021</v>
      </c>
    </row>
    <row r="5" spans="1:19" ht="0.75" customHeight="1">
      <c r="A5" s="47"/>
      <c r="B5" s="284"/>
      <c r="C5" s="284"/>
      <c r="D5" s="48"/>
      <c r="E5" s="51"/>
      <c r="F5" s="48"/>
      <c r="G5" s="52"/>
    </row>
    <row r="6" spans="1:19" ht="5.25" customHeight="1">
      <c r="A6" s="47"/>
      <c r="B6" s="53"/>
      <c r="C6" s="53"/>
      <c r="D6" s="48"/>
      <c r="E6" s="54"/>
      <c r="F6" s="48"/>
      <c r="G6" s="55"/>
    </row>
    <row r="7" spans="1:19" ht="30.75" customHeight="1">
      <c r="A7" s="56" t="s">
        <v>314</v>
      </c>
      <c r="B7" s="56" t="s">
        <v>315</v>
      </c>
      <c r="C7" s="285" t="s">
        <v>112</v>
      </c>
      <c r="D7" s="285"/>
      <c r="E7" s="285"/>
      <c r="F7" s="56" t="s">
        <v>316</v>
      </c>
      <c r="G7" s="56" t="s">
        <v>317</v>
      </c>
    </row>
    <row r="8" spans="1:19" ht="30" customHeight="1">
      <c r="A8" s="290" t="s">
        <v>318</v>
      </c>
      <c r="B8" s="57">
        <v>1</v>
      </c>
      <c r="C8" s="286" t="s">
        <v>81</v>
      </c>
      <c r="D8" s="286"/>
      <c r="E8" s="286"/>
      <c r="F8" s="58" t="s">
        <v>319</v>
      </c>
      <c r="G8" s="58"/>
    </row>
    <row r="9" spans="1:19" ht="30" customHeight="1">
      <c r="A9" s="290"/>
      <c r="B9" s="57">
        <v>2</v>
      </c>
      <c r="C9" s="286" t="s">
        <v>192</v>
      </c>
      <c r="D9" s="286"/>
      <c r="E9" s="286"/>
      <c r="F9" s="58" t="s">
        <v>319</v>
      </c>
      <c r="G9" s="58"/>
    </row>
    <row r="10" spans="1:19" ht="30" customHeight="1">
      <c r="A10" s="290"/>
      <c r="B10" s="57">
        <v>3</v>
      </c>
      <c r="C10" s="286" t="s">
        <v>320</v>
      </c>
      <c r="D10" s="286"/>
      <c r="E10" s="286"/>
      <c r="F10" s="58" t="s">
        <v>319</v>
      </c>
      <c r="G10" s="58"/>
    </row>
    <row r="11" spans="1:19" ht="30" customHeight="1">
      <c r="A11" s="290"/>
      <c r="B11" s="57">
        <v>4</v>
      </c>
      <c r="C11" s="286" t="s">
        <v>321</v>
      </c>
      <c r="D11" s="286"/>
      <c r="E11" s="286"/>
      <c r="F11" s="58" t="s">
        <v>319</v>
      </c>
      <c r="G11" s="58"/>
    </row>
    <row r="12" spans="1:19" ht="30" customHeight="1">
      <c r="A12" s="290"/>
      <c r="B12" s="57">
        <v>5</v>
      </c>
      <c r="C12" s="286" t="s">
        <v>322</v>
      </c>
      <c r="D12" s="286"/>
      <c r="E12" s="286"/>
      <c r="F12" s="58" t="s">
        <v>319</v>
      </c>
      <c r="G12" s="58"/>
    </row>
    <row r="13" spans="1:19" ht="30" customHeight="1">
      <c r="A13" s="290"/>
      <c r="B13" s="57">
        <v>6</v>
      </c>
      <c r="C13" s="286" t="s">
        <v>323</v>
      </c>
      <c r="D13" s="286"/>
      <c r="E13" s="286"/>
      <c r="F13" s="58" t="s">
        <v>319</v>
      </c>
      <c r="G13" s="58"/>
    </row>
    <row r="14" spans="1:19" ht="106.5" customHeight="1">
      <c r="A14" s="290" t="s">
        <v>324</v>
      </c>
      <c r="B14" s="57">
        <v>7</v>
      </c>
      <c r="C14" s="57" t="s">
        <v>325</v>
      </c>
      <c r="D14" s="291" t="s">
        <v>326</v>
      </c>
      <c r="E14" s="291"/>
      <c r="F14" s="58" t="s">
        <v>327</v>
      </c>
      <c r="G14" s="58"/>
    </row>
    <row r="15" spans="1:19" ht="30" customHeight="1">
      <c r="A15" s="290"/>
      <c r="B15" s="57">
        <v>8</v>
      </c>
      <c r="C15" s="292" t="s">
        <v>328</v>
      </c>
      <c r="D15" s="292"/>
      <c r="E15" s="292"/>
      <c r="F15" s="58" t="s">
        <v>319</v>
      </c>
      <c r="G15" s="58"/>
    </row>
    <row r="16" spans="1:19" ht="45" customHeight="1">
      <c r="A16" s="293" t="s">
        <v>329</v>
      </c>
      <c r="B16" s="294"/>
      <c r="C16" s="294"/>
      <c r="D16" s="294"/>
      <c r="E16" s="294"/>
      <c r="F16" s="294"/>
      <c r="G16" s="295"/>
    </row>
    <row r="17" spans="1:7" ht="45" customHeight="1">
      <c r="A17" s="296"/>
      <c r="B17" s="297"/>
      <c r="C17" s="297"/>
      <c r="D17" s="297"/>
      <c r="E17" s="297"/>
      <c r="F17" s="297"/>
      <c r="G17" s="298"/>
    </row>
    <row r="18" spans="1:7" ht="45" customHeight="1">
      <c r="A18" s="299"/>
      <c r="B18" s="300"/>
      <c r="C18" s="300"/>
      <c r="D18" s="300"/>
      <c r="E18" s="300"/>
      <c r="F18" s="301">
        <f ca="1">TODAY()</f>
        <v>43831</v>
      </c>
      <c r="G18" s="302"/>
    </row>
    <row r="19" spans="1:7" ht="30" customHeight="1">
      <c r="A19" s="287" t="s">
        <v>330</v>
      </c>
      <c r="B19" s="288"/>
      <c r="C19" s="288"/>
      <c r="D19" s="288"/>
      <c r="E19" s="288"/>
      <c r="F19" s="288"/>
      <c r="G19" s="289"/>
    </row>
    <row r="20" spans="1:7">
      <c r="A20" s="59"/>
      <c r="B20" s="59"/>
      <c r="C20" s="59"/>
      <c r="D20" s="59"/>
      <c r="E20" s="59"/>
      <c r="F20" s="59"/>
      <c r="G20" s="59"/>
    </row>
    <row r="21" spans="1:7">
      <c r="A21" s="60"/>
    </row>
    <row r="22" spans="1:7" ht="20.25">
      <c r="A22" s="61"/>
    </row>
    <row r="23" spans="1:7" ht="14.25">
      <c r="A23" s="62"/>
    </row>
  </sheetData>
  <mergeCells count="19">
    <mergeCell ref="A19:G19"/>
    <mergeCell ref="A8:A13"/>
    <mergeCell ref="A14:A15"/>
    <mergeCell ref="D14:E14"/>
    <mergeCell ref="C15:E15"/>
    <mergeCell ref="A16:G16"/>
    <mergeCell ref="A17:G17"/>
    <mergeCell ref="A18:E18"/>
    <mergeCell ref="F18:G18"/>
    <mergeCell ref="C9:E9"/>
    <mergeCell ref="C10:E10"/>
    <mergeCell ref="C11:E11"/>
    <mergeCell ref="C12:E12"/>
    <mergeCell ref="C13:E13"/>
    <mergeCell ref="A2:G2"/>
    <mergeCell ref="B4:C4"/>
    <mergeCell ref="B5:C5"/>
    <mergeCell ref="C7:E7"/>
    <mergeCell ref="C8:E8"/>
  </mergeCells>
  <phoneticPr fontId="93" type="noConversion"/>
  <pageMargins left="0.83958333333333302" right="0.63958333333333295" top="0.75" bottom="0.75" header="0.3" footer="0.3"/>
  <pageSetup paperSize="9" orientation="portrait" horizontalDpi="1200" verticalDpi="1200" r:id="rId1"/>
</worksheet>
</file>

<file path=xl/worksheets/sheet12.xml><?xml version="1.0" encoding="utf-8"?>
<worksheet xmlns="http://schemas.openxmlformats.org/spreadsheetml/2006/main" xmlns:r="http://schemas.openxmlformats.org/officeDocument/2006/relationships">
  <sheetPr codeName="Sheet12">
    <tabColor rgb="FFFF0000"/>
  </sheetPr>
  <dimension ref="A1:S56"/>
  <sheetViews>
    <sheetView showGridLines="0" view="pageBreakPreview" zoomScale="89" zoomScaleNormal="100" zoomScaleSheetLayoutView="89" workbookViewId="0">
      <selection activeCell="R11" sqref="R11"/>
    </sheetView>
  </sheetViews>
  <sheetFormatPr defaultColWidth="9" defaultRowHeight="13.5"/>
  <cols>
    <col min="1" max="1" width="4.25" style="1" customWidth="1"/>
    <col min="2" max="2" width="4.875" style="1" customWidth="1"/>
    <col min="3" max="3" width="12.5" style="1" customWidth="1"/>
    <col min="4" max="4" width="12" style="1" customWidth="1"/>
    <col min="5" max="5" width="8.25" style="1" customWidth="1"/>
    <col min="6" max="6" width="5.875" style="1" customWidth="1"/>
    <col min="7" max="7" width="6.125" style="1" customWidth="1"/>
    <col min="8" max="8" width="5.25" style="1" customWidth="1"/>
    <col min="9" max="9" width="9" style="1" customWidth="1"/>
    <col min="10" max="10" width="4.5" style="1" customWidth="1"/>
    <col min="11" max="11" width="9.375" style="1" customWidth="1"/>
    <col min="12" max="12" width="2.875" style="1" hidden="1" customWidth="1"/>
    <col min="13" max="13" width="17" style="1" customWidth="1"/>
    <col min="14" max="256" width="9" style="1"/>
    <col min="257" max="257" width="12.25" style="1" customWidth="1"/>
    <col min="258" max="258" width="25" style="1" customWidth="1"/>
    <col min="259" max="259" width="31.625" style="1" customWidth="1"/>
    <col min="260" max="261" width="36" style="1" customWidth="1"/>
    <col min="262" max="266" width="11.625" style="1" customWidth="1"/>
    <col min="267" max="267" width="18.25" style="1" customWidth="1"/>
    <col min="268" max="268" width="11.625" style="1" customWidth="1"/>
    <col min="269" max="269" width="22.25" style="1" customWidth="1"/>
    <col min="270" max="512" width="9" style="1"/>
    <col min="513" max="513" width="12.25" style="1" customWidth="1"/>
    <col min="514" max="514" width="25" style="1" customWidth="1"/>
    <col min="515" max="515" width="31.625" style="1" customWidth="1"/>
    <col min="516" max="517" width="36" style="1" customWidth="1"/>
    <col min="518" max="522" width="11.625" style="1" customWidth="1"/>
    <col min="523" max="523" width="18.25" style="1" customWidth="1"/>
    <col min="524" max="524" width="11.625" style="1" customWidth="1"/>
    <col min="525" max="525" width="22.25" style="1" customWidth="1"/>
    <col min="526" max="768" width="9" style="1"/>
    <col min="769" max="769" width="12.25" style="1" customWidth="1"/>
    <col min="770" max="770" width="25" style="1" customWidth="1"/>
    <col min="771" max="771" width="31.625" style="1" customWidth="1"/>
    <col min="772" max="773" width="36" style="1" customWidth="1"/>
    <col min="774" max="778" width="11.625" style="1" customWidth="1"/>
    <col min="779" max="779" width="18.25" style="1" customWidth="1"/>
    <col min="780" max="780" width="11.625" style="1" customWidth="1"/>
    <col min="781" max="781" width="22.25" style="1" customWidth="1"/>
    <col min="782" max="1024" width="9" style="1"/>
    <col min="1025" max="1025" width="12.25" style="1" customWidth="1"/>
    <col min="1026" max="1026" width="25" style="1" customWidth="1"/>
    <col min="1027" max="1027" width="31.625" style="1" customWidth="1"/>
    <col min="1028" max="1029" width="36" style="1" customWidth="1"/>
    <col min="1030" max="1034" width="11.625" style="1" customWidth="1"/>
    <col min="1035" max="1035" width="18.25" style="1" customWidth="1"/>
    <col min="1036" max="1036" width="11.625" style="1" customWidth="1"/>
    <col min="1037" max="1037" width="22.25" style="1" customWidth="1"/>
    <col min="1038" max="1280" width="9" style="1"/>
    <col min="1281" max="1281" width="12.25" style="1" customWidth="1"/>
    <col min="1282" max="1282" width="25" style="1" customWidth="1"/>
    <col min="1283" max="1283" width="31.625" style="1" customWidth="1"/>
    <col min="1284" max="1285" width="36" style="1" customWidth="1"/>
    <col min="1286" max="1290" width="11.625" style="1" customWidth="1"/>
    <col min="1291" max="1291" width="18.25" style="1" customWidth="1"/>
    <col min="1292" max="1292" width="11.625" style="1" customWidth="1"/>
    <col min="1293" max="1293" width="22.25" style="1" customWidth="1"/>
    <col min="1294" max="1536" width="9" style="1"/>
    <col min="1537" max="1537" width="12.25" style="1" customWidth="1"/>
    <col min="1538" max="1538" width="25" style="1" customWidth="1"/>
    <col min="1539" max="1539" width="31.625" style="1" customWidth="1"/>
    <col min="1540" max="1541" width="36" style="1" customWidth="1"/>
    <col min="1542" max="1546" width="11.625" style="1" customWidth="1"/>
    <col min="1547" max="1547" width="18.25" style="1" customWidth="1"/>
    <col min="1548" max="1548" width="11.625" style="1" customWidth="1"/>
    <col min="1549" max="1549" width="22.25" style="1" customWidth="1"/>
    <col min="1550" max="1792" width="9" style="1"/>
    <col min="1793" max="1793" width="12.25" style="1" customWidth="1"/>
    <col min="1794" max="1794" width="25" style="1" customWidth="1"/>
    <col min="1795" max="1795" width="31.625" style="1" customWidth="1"/>
    <col min="1796" max="1797" width="36" style="1" customWidth="1"/>
    <col min="1798" max="1802" width="11.625" style="1" customWidth="1"/>
    <col min="1803" max="1803" width="18.25" style="1" customWidth="1"/>
    <col min="1804" max="1804" width="11.625" style="1" customWidth="1"/>
    <col min="1805" max="1805" width="22.25" style="1" customWidth="1"/>
    <col min="1806" max="2048" width="9" style="1"/>
    <col min="2049" max="2049" width="12.25" style="1" customWidth="1"/>
    <col min="2050" max="2050" width="25" style="1" customWidth="1"/>
    <col min="2051" max="2051" width="31.625" style="1" customWidth="1"/>
    <col min="2052" max="2053" width="36" style="1" customWidth="1"/>
    <col min="2054" max="2058" width="11.625" style="1" customWidth="1"/>
    <col min="2059" max="2059" width="18.25" style="1" customWidth="1"/>
    <col min="2060" max="2060" width="11.625" style="1" customWidth="1"/>
    <col min="2061" max="2061" width="22.25" style="1" customWidth="1"/>
    <col min="2062" max="2304" width="9" style="1"/>
    <col min="2305" max="2305" width="12.25" style="1" customWidth="1"/>
    <col min="2306" max="2306" width="25" style="1" customWidth="1"/>
    <col min="2307" max="2307" width="31.625" style="1" customWidth="1"/>
    <col min="2308" max="2309" width="36" style="1" customWidth="1"/>
    <col min="2310" max="2314" width="11.625" style="1" customWidth="1"/>
    <col min="2315" max="2315" width="18.25" style="1" customWidth="1"/>
    <col min="2316" max="2316" width="11.625" style="1" customWidth="1"/>
    <col min="2317" max="2317" width="22.25" style="1" customWidth="1"/>
    <col min="2318" max="2560" width="9" style="1"/>
    <col min="2561" max="2561" width="12.25" style="1" customWidth="1"/>
    <col min="2562" max="2562" width="25" style="1" customWidth="1"/>
    <col min="2563" max="2563" width="31.625" style="1" customWidth="1"/>
    <col min="2564" max="2565" width="36" style="1" customWidth="1"/>
    <col min="2566" max="2570" width="11.625" style="1" customWidth="1"/>
    <col min="2571" max="2571" width="18.25" style="1" customWidth="1"/>
    <col min="2572" max="2572" width="11.625" style="1" customWidth="1"/>
    <col min="2573" max="2573" width="22.25" style="1" customWidth="1"/>
    <col min="2574" max="2816" width="9" style="1"/>
    <col min="2817" max="2817" width="12.25" style="1" customWidth="1"/>
    <col min="2818" max="2818" width="25" style="1" customWidth="1"/>
    <col min="2819" max="2819" width="31.625" style="1" customWidth="1"/>
    <col min="2820" max="2821" width="36" style="1" customWidth="1"/>
    <col min="2822" max="2826" width="11.625" style="1" customWidth="1"/>
    <col min="2827" max="2827" width="18.25" style="1" customWidth="1"/>
    <col min="2828" max="2828" width="11.625" style="1" customWidth="1"/>
    <col min="2829" max="2829" width="22.25" style="1" customWidth="1"/>
    <col min="2830" max="3072" width="9" style="1"/>
    <col min="3073" max="3073" width="12.25" style="1" customWidth="1"/>
    <col min="3074" max="3074" width="25" style="1" customWidth="1"/>
    <col min="3075" max="3075" width="31.625" style="1" customWidth="1"/>
    <col min="3076" max="3077" width="36" style="1" customWidth="1"/>
    <col min="3078" max="3082" width="11.625" style="1" customWidth="1"/>
    <col min="3083" max="3083" width="18.25" style="1" customWidth="1"/>
    <col min="3084" max="3084" width="11.625" style="1" customWidth="1"/>
    <col min="3085" max="3085" width="22.25" style="1" customWidth="1"/>
    <col min="3086" max="3328" width="9" style="1"/>
    <col min="3329" max="3329" width="12.25" style="1" customWidth="1"/>
    <col min="3330" max="3330" width="25" style="1" customWidth="1"/>
    <col min="3331" max="3331" width="31.625" style="1" customWidth="1"/>
    <col min="3332" max="3333" width="36" style="1" customWidth="1"/>
    <col min="3334" max="3338" width="11.625" style="1" customWidth="1"/>
    <col min="3339" max="3339" width="18.25" style="1" customWidth="1"/>
    <col min="3340" max="3340" width="11.625" style="1" customWidth="1"/>
    <col min="3341" max="3341" width="22.25" style="1" customWidth="1"/>
    <col min="3342" max="3584" width="9" style="1"/>
    <col min="3585" max="3585" width="12.25" style="1" customWidth="1"/>
    <col min="3586" max="3586" width="25" style="1" customWidth="1"/>
    <col min="3587" max="3587" width="31.625" style="1" customWidth="1"/>
    <col min="3588" max="3589" width="36" style="1" customWidth="1"/>
    <col min="3590" max="3594" width="11.625" style="1" customWidth="1"/>
    <col min="3595" max="3595" width="18.25" style="1" customWidth="1"/>
    <col min="3596" max="3596" width="11.625" style="1" customWidth="1"/>
    <col min="3597" max="3597" width="22.25" style="1" customWidth="1"/>
    <col min="3598" max="3840" width="9" style="1"/>
    <col min="3841" max="3841" width="12.25" style="1" customWidth="1"/>
    <col min="3842" max="3842" width="25" style="1" customWidth="1"/>
    <col min="3843" max="3843" width="31.625" style="1" customWidth="1"/>
    <col min="3844" max="3845" width="36" style="1" customWidth="1"/>
    <col min="3846" max="3850" width="11.625" style="1" customWidth="1"/>
    <col min="3851" max="3851" width="18.25" style="1" customWidth="1"/>
    <col min="3852" max="3852" width="11.625" style="1" customWidth="1"/>
    <col min="3853" max="3853" width="22.25" style="1" customWidth="1"/>
    <col min="3854" max="4096" width="9" style="1"/>
    <col min="4097" max="4097" width="12.25" style="1" customWidth="1"/>
    <col min="4098" max="4098" width="25" style="1" customWidth="1"/>
    <col min="4099" max="4099" width="31.625" style="1" customWidth="1"/>
    <col min="4100" max="4101" width="36" style="1" customWidth="1"/>
    <col min="4102" max="4106" width="11.625" style="1" customWidth="1"/>
    <col min="4107" max="4107" width="18.25" style="1" customWidth="1"/>
    <col min="4108" max="4108" width="11.625" style="1" customWidth="1"/>
    <col min="4109" max="4109" width="22.25" style="1" customWidth="1"/>
    <col min="4110" max="4352" width="9" style="1"/>
    <col min="4353" max="4353" width="12.25" style="1" customWidth="1"/>
    <col min="4354" max="4354" width="25" style="1" customWidth="1"/>
    <col min="4355" max="4355" width="31.625" style="1" customWidth="1"/>
    <col min="4356" max="4357" width="36" style="1" customWidth="1"/>
    <col min="4358" max="4362" width="11.625" style="1" customWidth="1"/>
    <col min="4363" max="4363" width="18.25" style="1" customWidth="1"/>
    <col min="4364" max="4364" width="11.625" style="1" customWidth="1"/>
    <col min="4365" max="4365" width="22.25" style="1" customWidth="1"/>
    <col min="4366" max="4608" width="9" style="1"/>
    <col min="4609" max="4609" width="12.25" style="1" customWidth="1"/>
    <col min="4610" max="4610" width="25" style="1" customWidth="1"/>
    <col min="4611" max="4611" width="31.625" style="1" customWidth="1"/>
    <col min="4612" max="4613" width="36" style="1" customWidth="1"/>
    <col min="4614" max="4618" width="11.625" style="1" customWidth="1"/>
    <col min="4619" max="4619" width="18.25" style="1" customWidth="1"/>
    <col min="4620" max="4620" width="11.625" style="1" customWidth="1"/>
    <col min="4621" max="4621" width="22.25" style="1" customWidth="1"/>
    <col min="4622" max="4864" width="9" style="1"/>
    <col min="4865" max="4865" width="12.25" style="1" customWidth="1"/>
    <col min="4866" max="4866" width="25" style="1" customWidth="1"/>
    <col min="4867" max="4867" width="31.625" style="1" customWidth="1"/>
    <col min="4868" max="4869" width="36" style="1" customWidth="1"/>
    <col min="4870" max="4874" width="11.625" style="1" customWidth="1"/>
    <col min="4875" max="4875" width="18.25" style="1" customWidth="1"/>
    <col min="4876" max="4876" width="11.625" style="1" customWidth="1"/>
    <col min="4877" max="4877" width="22.25" style="1" customWidth="1"/>
    <col min="4878" max="5120" width="9" style="1"/>
    <col min="5121" max="5121" width="12.25" style="1" customWidth="1"/>
    <col min="5122" max="5122" width="25" style="1" customWidth="1"/>
    <col min="5123" max="5123" width="31.625" style="1" customWidth="1"/>
    <col min="5124" max="5125" width="36" style="1" customWidth="1"/>
    <col min="5126" max="5130" width="11.625" style="1" customWidth="1"/>
    <col min="5131" max="5131" width="18.25" style="1" customWidth="1"/>
    <col min="5132" max="5132" width="11.625" style="1" customWidth="1"/>
    <col min="5133" max="5133" width="22.25" style="1" customWidth="1"/>
    <col min="5134" max="5376" width="9" style="1"/>
    <col min="5377" max="5377" width="12.25" style="1" customWidth="1"/>
    <col min="5378" max="5378" width="25" style="1" customWidth="1"/>
    <col min="5379" max="5379" width="31.625" style="1" customWidth="1"/>
    <col min="5380" max="5381" width="36" style="1" customWidth="1"/>
    <col min="5382" max="5386" width="11.625" style="1" customWidth="1"/>
    <col min="5387" max="5387" width="18.25" style="1" customWidth="1"/>
    <col min="5388" max="5388" width="11.625" style="1" customWidth="1"/>
    <col min="5389" max="5389" width="22.25" style="1" customWidth="1"/>
    <col min="5390" max="5632" width="9" style="1"/>
    <col min="5633" max="5633" width="12.25" style="1" customWidth="1"/>
    <col min="5634" max="5634" width="25" style="1" customWidth="1"/>
    <col min="5635" max="5635" width="31.625" style="1" customWidth="1"/>
    <col min="5636" max="5637" width="36" style="1" customWidth="1"/>
    <col min="5638" max="5642" width="11.625" style="1" customWidth="1"/>
    <col min="5643" max="5643" width="18.25" style="1" customWidth="1"/>
    <col min="5644" max="5644" width="11.625" style="1" customWidth="1"/>
    <col min="5645" max="5645" width="22.25" style="1" customWidth="1"/>
    <col min="5646" max="5888" width="9" style="1"/>
    <col min="5889" max="5889" width="12.25" style="1" customWidth="1"/>
    <col min="5890" max="5890" width="25" style="1" customWidth="1"/>
    <col min="5891" max="5891" width="31.625" style="1" customWidth="1"/>
    <col min="5892" max="5893" width="36" style="1" customWidth="1"/>
    <col min="5894" max="5898" width="11.625" style="1" customWidth="1"/>
    <col min="5899" max="5899" width="18.25" style="1" customWidth="1"/>
    <col min="5900" max="5900" width="11.625" style="1" customWidth="1"/>
    <col min="5901" max="5901" width="22.25" style="1" customWidth="1"/>
    <col min="5902" max="6144" width="9" style="1"/>
    <col min="6145" max="6145" width="12.25" style="1" customWidth="1"/>
    <col min="6146" max="6146" width="25" style="1" customWidth="1"/>
    <col min="6147" max="6147" width="31.625" style="1" customWidth="1"/>
    <col min="6148" max="6149" width="36" style="1" customWidth="1"/>
    <col min="6150" max="6154" width="11.625" style="1" customWidth="1"/>
    <col min="6155" max="6155" width="18.25" style="1" customWidth="1"/>
    <col min="6156" max="6156" width="11.625" style="1" customWidth="1"/>
    <col min="6157" max="6157" width="22.25" style="1" customWidth="1"/>
    <col min="6158" max="6400" width="9" style="1"/>
    <col min="6401" max="6401" width="12.25" style="1" customWidth="1"/>
    <col min="6402" max="6402" width="25" style="1" customWidth="1"/>
    <col min="6403" max="6403" width="31.625" style="1" customWidth="1"/>
    <col min="6404" max="6405" width="36" style="1" customWidth="1"/>
    <col min="6406" max="6410" width="11.625" style="1" customWidth="1"/>
    <col min="6411" max="6411" width="18.25" style="1" customWidth="1"/>
    <col min="6412" max="6412" width="11.625" style="1" customWidth="1"/>
    <col min="6413" max="6413" width="22.25" style="1" customWidth="1"/>
    <col min="6414" max="6656" width="9" style="1"/>
    <col min="6657" max="6657" width="12.25" style="1" customWidth="1"/>
    <col min="6658" max="6658" width="25" style="1" customWidth="1"/>
    <col min="6659" max="6659" width="31.625" style="1" customWidth="1"/>
    <col min="6660" max="6661" width="36" style="1" customWidth="1"/>
    <col min="6662" max="6666" width="11.625" style="1" customWidth="1"/>
    <col min="6667" max="6667" width="18.25" style="1" customWidth="1"/>
    <col min="6668" max="6668" width="11.625" style="1" customWidth="1"/>
    <col min="6669" max="6669" width="22.25" style="1" customWidth="1"/>
    <col min="6670" max="6912" width="9" style="1"/>
    <col min="6913" max="6913" width="12.25" style="1" customWidth="1"/>
    <col min="6914" max="6914" width="25" style="1" customWidth="1"/>
    <col min="6915" max="6915" width="31.625" style="1" customWidth="1"/>
    <col min="6916" max="6917" width="36" style="1" customWidth="1"/>
    <col min="6918" max="6922" width="11.625" style="1" customWidth="1"/>
    <col min="6923" max="6923" width="18.25" style="1" customWidth="1"/>
    <col min="6924" max="6924" width="11.625" style="1" customWidth="1"/>
    <col min="6925" max="6925" width="22.25" style="1" customWidth="1"/>
    <col min="6926" max="7168" width="9" style="1"/>
    <col min="7169" max="7169" width="12.25" style="1" customWidth="1"/>
    <col min="7170" max="7170" width="25" style="1" customWidth="1"/>
    <col min="7171" max="7171" width="31.625" style="1" customWidth="1"/>
    <col min="7172" max="7173" width="36" style="1" customWidth="1"/>
    <col min="7174" max="7178" width="11.625" style="1" customWidth="1"/>
    <col min="7179" max="7179" width="18.25" style="1" customWidth="1"/>
    <col min="7180" max="7180" width="11.625" style="1" customWidth="1"/>
    <col min="7181" max="7181" width="22.25" style="1" customWidth="1"/>
    <col min="7182" max="7424" width="9" style="1"/>
    <col min="7425" max="7425" width="12.25" style="1" customWidth="1"/>
    <col min="7426" max="7426" width="25" style="1" customWidth="1"/>
    <col min="7427" max="7427" width="31.625" style="1" customWidth="1"/>
    <col min="7428" max="7429" width="36" style="1" customWidth="1"/>
    <col min="7430" max="7434" width="11.625" style="1" customWidth="1"/>
    <col min="7435" max="7435" width="18.25" style="1" customWidth="1"/>
    <col min="7436" max="7436" width="11.625" style="1" customWidth="1"/>
    <col min="7437" max="7437" width="22.25" style="1" customWidth="1"/>
    <col min="7438" max="7680" width="9" style="1"/>
    <col min="7681" max="7681" width="12.25" style="1" customWidth="1"/>
    <col min="7682" max="7682" width="25" style="1" customWidth="1"/>
    <col min="7683" max="7683" width="31.625" style="1" customWidth="1"/>
    <col min="7684" max="7685" width="36" style="1" customWidth="1"/>
    <col min="7686" max="7690" width="11.625" style="1" customWidth="1"/>
    <col min="7691" max="7691" width="18.25" style="1" customWidth="1"/>
    <col min="7692" max="7692" width="11.625" style="1" customWidth="1"/>
    <col min="7693" max="7693" width="22.25" style="1" customWidth="1"/>
    <col min="7694" max="7936" width="9" style="1"/>
    <col min="7937" max="7937" width="12.25" style="1" customWidth="1"/>
    <col min="7938" max="7938" width="25" style="1" customWidth="1"/>
    <col min="7939" max="7939" width="31.625" style="1" customWidth="1"/>
    <col min="7940" max="7941" width="36" style="1" customWidth="1"/>
    <col min="7942" max="7946" width="11.625" style="1" customWidth="1"/>
    <col min="7947" max="7947" width="18.25" style="1" customWidth="1"/>
    <col min="7948" max="7948" width="11.625" style="1" customWidth="1"/>
    <col min="7949" max="7949" width="22.25" style="1" customWidth="1"/>
    <col min="7950" max="8192" width="9" style="1"/>
    <col min="8193" max="8193" width="12.25" style="1" customWidth="1"/>
    <col min="8194" max="8194" width="25" style="1" customWidth="1"/>
    <col min="8195" max="8195" width="31.625" style="1" customWidth="1"/>
    <col min="8196" max="8197" width="36" style="1" customWidth="1"/>
    <col min="8198" max="8202" width="11.625" style="1" customWidth="1"/>
    <col min="8203" max="8203" width="18.25" style="1" customWidth="1"/>
    <col min="8204" max="8204" width="11.625" style="1" customWidth="1"/>
    <col min="8205" max="8205" width="22.25" style="1" customWidth="1"/>
    <col min="8206" max="8448" width="9" style="1"/>
    <col min="8449" max="8449" width="12.25" style="1" customWidth="1"/>
    <col min="8450" max="8450" width="25" style="1" customWidth="1"/>
    <col min="8451" max="8451" width="31.625" style="1" customWidth="1"/>
    <col min="8452" max="8453" width="36" style="1" customWidth="1"/>
    <col min="8454" max="8458" width="11.625" style="1" customWidth="1"/>
    <col min="8459" max="8459" width="18.25" style="1" customWidth="1"/>
    <col min="8460" max="8460" width="11.625" style="1" customWidth="1"/>
    <col min="8461" max="8461" width="22.25" style="1" customWidth="1"/>
    <col min="8462" max="8704" width="9" style="1"/>
    <col min="8705" max="8705" width="12.25" style="1" customWidth="1"/>
    <col min="8706" max="8706" width="25" style="1" customWidth="1"/>
    <col min="8707" max="8707" width="31.625" style="1" customWidth="1"/>
    <col min="8708" max="8709" width="36" style="1" customWidth="1"/>
    <col min="8710" max="8714" width="11.625" style="1" customWidth="1"/>
    <col min="8715" max="8715" width="18.25" style="1" customWidth="1"/>
    <col min="8716" max="8716" width="11.625" style="1" customWidth="1"/>
    <col min="8717" max="8717" width="22.25" style="1" customWidth="1"/>
    <col min="8718" max="8960" width="9" style="1"/>
    <col min="8961" max="8961" width="12.25" style="1" customWidth="1"/>
    <col min="8962" max="8962" width="25" style="1" customWidth="1"/>
    <col min="8963" max="8963" width="31.625" style="1" customWidth="1"/>
    <col min="8964" max="8965" width="36" style="1" customWidth="1"/>
    <col min="8966" max="8970" width="11.625" style="1" customWidth="1"/>
    <col min="8971" max="8971" width="18.25" style="1" customWidth="1"/>
    <col min="8972" max="8972" width="11.625" style="1" customWidth="1"/>
    <col min="8973" max="8973" width="22.25" style="1" customWidth="1"/>
    <col min="8974" max="9216" width="9" style="1"/>
    <col min="9217" max="9217" width="12.25" style="1" customWidth="1"/>
    <col min="9218" max="9218" width="25" style="1" customWidth="1"/>
    <col min="9219" max="9219" width="31.625" style="1" customWidth="1"/>
    <col min="9220" max="9221" width="36" style="1" customWidth="1"/>
    <col min="9222" max="9226" width="11.625" style="1" customWidth="1"/>
    <col min="9227" max="9227" width="18.25" style="1" customWidth="1"/>
    <col min="9228" max="9228" width="11.625" style="1" customWidth="1"/>
    <col min="9229" max="9229" width="22.25" style="1" customWidth="1"/>
    <col min="9230" max="9472" width="9" style="1"/>
    <col min="9473" max="9473" width="12.25" style="1" customWidth="1"/>
    <col min="9474" max="9474" width="25" style="1" customWidth="1"/>
    <col min="9475" max="9475" width="31.625" style="1" customWidth="1"/>
    <col min="9476" max="9477" width="36" style="1" customWidth="1"/>
    <col min="9478" max="9482" width="11.625" style="1" customWidth="1"/>
    <col min="9483" max="9483" width="18.25" style="1" customWidth="1"/>
    <col min="9484" max="9484" width="11.625" style="1" customWidth="1"/>
    <col min="9485" max="9485" width="22.25" style="1" customWidth="1"/>
    <col min="9486" max="9728" width="9" style="1"/>
    <col min="9729" max="9729" width="12.25" style="1" customWidth="1"/>
    <col min="9730" max="9730" width="25" style="1" customWidth="1"/>
    <col min="9731" max="9731" width="31.625" style="1" customWidth="1"/>
    <col min="9732" max="9733" width="36" style="1" customWidth="1"/>
    <col min="9734" max="9738" width="11.625" style="1" customWidth="1"/>
    <col min="9739" max="9739" width="18.25" style="1" customWidth="1"/>
    <col min="9740" max="9740" width="11.625" style="1" customWidth="1"/>
    <col min="9741" max="9741" width="22.25" style="1" customWidth="1"/>
    <col min="9742" max="9984" width="9" style="1"/>
    <col min="9985" max="9985" width="12.25" style="1" customWidth="1"/>
    <col min="9986" max="9986" width="25" style="1" customWidth="1"/>
    <col min="9987" max="9987" width="31.625" style="1" customWidth="1"/>
    <col min="9988" max="9989" width="36" style="1" customWidth="1"/>
    <col min="9990" max="9994" width="11.625" style="1" customWidth="1"/>
    <col min="9995" max="9995" width="18.25" style="1" customWidth="1"/>
    <col min="9996" max="9996" width="11.625" style="1" customWidth="1"/>
    <col min="9997" max="9997" width="22.25" style="1" customWidth="1"/>
    <col min="9998" max="10240" width="9" style="1"/>
    <col min="10241" max="10241" width="12.25" style="1" customWidth="1"/>
    <col min="10242" max="10242" width="25" style="1" customWidth="1"/>
    <col min="10243" max="10243" width="31.625" style="1" customWidth="1"/>
    <col min="10244" max="10245" width="36" style="1" customWidth="1"/>
    <col min="10246" max="10250" width="11.625" style="1" customWidth="1"/>
    <col min="10251" max="10251" width="18.25" style="1" customWidth="1"/>
    <col min="10252" max="10252" width="11.625" style="1" customWidth="1"/>
    <col min="10253" max="10253" width="22.25" style="1" customWidth="1"/>
    <col min="10254" max="10496" width="9" style="1"/>
    <col min="10497" max="10497" width="12.25" style="1" customWidth="1"/>
    <col min="10498" max="10498" width="25" style="1" customWidth="1"/>
    <col min="10499" max="10499" width="31.625" style="1" customWidth="1"/>
    <col min="10500" max="10501" width="36" style="1" customWidth="1"/>
    <col min="10502" max="10506" width="11.625" style="1" customWidth="1"/>
    <col min="10507" max="10507" width="18.25" style="1" customWidth="1"/>
    <col min="10508" max="10508" width="11.625" style="1" customWidth="1"/>
    <col min="10509" max="10509" width="22.25" style="1" customWidth="1"/>
    <col min="10510" max="10752" width="9" style="1"/>
    <col min="10753" max="10753" width="12.25" style="1" customWidth="1"/>
    <col min="10754" max="10754" width="25" style="1" customWidth="1"/>
    <col min="10755" max="10755" width="31.625" style="1" customWidth="1"/>
    <col min="10756" max="10757" width="36" style="1" customWidth="1"/>
    <col min="10758" max="10762" width="11.625" style="1" customWidth="1"/>
    <col min="10763" max="10763" width="18.25" style="1" customWidth="1"/>
    <col min="10764" max="10764" width="11.625" style="1" customWidth="1"/>
    <col min="10765" max="10765" width="22.25" style="1" customWidth="1"/>
    <col min="10766" max="11008" width="9" style="1"/>
    <col min="11009" max="11009" width="12.25" style="1" customWidth="1"/>
    <col min="11010" max="11010" width="25" style="1" customWidth="1"/>
    <col min="11011" max="11011" width="31.625" style="1" customWidth="1"/>
    <col min="11012" max="11013" width="36" style="1" customWidth="1"/>
    <col min="11014" max="11018" width="11.625" style="1" customWidth="1"/>
    <col min="11019" max="11019" width="18.25" style="1" customWidth="1"/>
    <col min="11020" max="11020" width="11.625" style="1" customWidth="1"/>
    <col min="11021" max="11021" width="22.25" style="1" customWidth="1"/>
    <col min="11022" max="11264" width="9" style="1"/>
    <col min="11265" max="11265" width="12.25" style="1" customWidth="1"/>
    <col min="11266" max="11266" width="25" style="1" customWidth="1"/>
    <col min="11267" max="11267" width="31.625" style="1" customWidth="1"/>
    <col min="11268" max="11269" width="36" style="1" customWidth="1"/>
    <col min="11270" max="11274" width="11.625" style="1" customWidth="1"/>
    <col min="11275" max="11275" width="18.25" style="1" customWidth="1"/>
    <col min="11276" max="11276" width="11.625" style="1" customWidth="1"/>
    <col min="11277" max="11277" width="22.25" style="1" customWidth="1"/>
    <col min="11278" max="11520" width="9" style="1"/>
    <col min="11521" max="11521" width="12.25" style="1" customWidth="1"/>
    <col min="11522" max="11522" width="25" style="1" customWidth="1"/>
    <col min="11523" max="11523" width="31.625" style="1" customWidth="1"/>
    <col min="11524" max="11525" width="36" style="1" customWidth="1"/>
    <col min="11526" max="11530" width="11.625" style="1" customWidth="1"/>
    <col min="11531" max="11531" width="18.25" style="1" customWidth="1"/>
    <col min="11532" max="11532" width="11.625" style="1" customWidth="1"/>
    <col min="11533" max="11533" width="22.25" style="1" customWidth="1"/>
    <col min="11534" max="11776" width="9" style="1"/>
    <col min="11777" max="11777" width="12.25" style="1" customWidth="1"/>
    <col min="11778" max="11778" width="25" style="1" customWidth="1"/>
    <col min="11779" max="11779" width="31.625" style="1" customWidth="1"/>
    <col min="11780" max="11781" width="36" style="1" customWidth="1"/>
    <col min="11782" max="11786" width="11.625" style="1" customWidth="1"/>
    <col min="11787" max="11787" width="18.25" style="1" customWidth="1"/>
    <col min="11788" max="11788" width="11.625" style="1" customWidth="1"/>
    <col min="11789" max="11789" width="22.25" style="1" customWidth="1"/>
    <col min="11790" max="12032" width="9" style="1"/>
    <col min="12033" max="12033" width="12.25" style="1" customWidth="1"/>
    <col min="12034" max="12034" width="25" style="1" customWidth="1"/>
    <col min="12035" max="12035" width="31.625" style="1" customWidth="1"/>
    <col min="12036" max="12037" width="36" style="1" customWidth="1"/>
    <col min="12038" max="12042" width="11.625" style="1" customWidth="1"/>
    <col min="12043" max="12043" width="18.25" style="1" customWidth="1"/>
    <col min="12044" max="12044" width="11.625" style="1" customWidth="1"/>
    <col min="12045" max="12045" width="22.25" style="1" customWidth="1"/>
    <col min="12046" max="12288" width="9" style="1"/>
    <col min="12289" max="12289" width="12.25" style="1" customWidth="1"/>
    <col min="12290" max="12290" width="25" style="1" customWidth="1"/>
    <col min="12291" max="12291" width="31.625" style="1" customWidth="1"/>
    <col min="12292" max="12293" width="36" style="1" customWidth="1"/>
    <col min="12294" max="12298" width="11.625" style="1" customWidth="1"/>
    <col min="12299" max="12299" width="18.25" style="1" customWidth="1"/>
    <col min="12300" max="12300" width="11.625" style="1" customWidth="1"/>
    <col min="12301" max="12301" width="22.25" style="1" customWidth="1"/>
    <col min="12302" max="12544" width="9" style="1"/>
    <col min="12545" max="12545" width="12.25" style="1" customWidth="1"/>
    <col min="12546" max="12546" width="25" style="1" customWidth="1"/>
    <col min="12547" max="12547" width="31.625" style="1" customWidth="1"/>
    <col min="12548" max="12549" width="36" style="1" customWidth="1"/>
    <col min="12550" max="12554" width="11.625" style="1" customWidth="1"/>
    <col min="12555" max="12555" width="18.25" style="1" customWidth="1"/>
    <col min="12556" max="12556" width="11.625" style="1" customWidth="1"/>
    <col min="12557" max="12557" width="22.25" style="1" customWidth="1"/>
    <col min="12558" max="12800" width="9" style="1"/>
    <col min="12801" max="12801" width="12.25" style="1" customWidth="1"/>
    <col min="12802" max="12802" width="25" style="1" customWidth="1"/>
    <col min="12803" max="12803" width="31.625" style="1" customWidth="1"/>
    <col min="12804" max="12805" width="36" style="1" customWidth="1"/>
    <col min="12806" max="12810" width="11.625" style="1" customWidth="1"/>
    <col min="12811" max="12811" width="18.25" style="1" customWidth="1"/>
    <col min="12812" max="12812" width="11.625" style="1" customWidth="1"/>
    <col min="12813" max="12813" width="22.25" style="1" customWidth="1"/>
    <col min="12814" max="13056" width="9" style="1"/>
    <col min="13057" max="13057" width="12.25" style="1" customWidth="1"/>
    <col min="13058" max="13058" width="25" style="1" customWidth="1"/>
    <col min="13059" max="13059" width="31.625" style="1" customWidth="1"/>
    <col min="13060" max="13061" width="36" style="1" customWidth="1"/>
    <col min="13062" max="13066" width="11.625" style="1" customWidth="1"/>
    <col min="13067" max="13067" width="18.25" style="1" customWidth="1"/>
    <col min="13068" max="13068" width="11.625" style="1" customWidth="1"/>
    <col min="13069" max="13069" width="22.25" style="1" customWidth="1"/>
    <col min="13070" max="13312" width="9" style="1"/>
    <col min="13313" max="13313" width="12.25" style="1" customWidth="1"/>
    <col min="13314" max="13314" width="25" style="1" customWidth="1"/>
    <col min="13315" max="13315" width="31.625" style="1" customWidth="1"/>
    <col min="13316" max="13317" width="36" style="1" customWidth="1"/>
    <col min="13318" max="13322" width="11.625" style="1" customWidth="1"/>
    <col min="13323" max="13323" width="18.25" style="1" customWidth="1"/>
    <col min="13324" max="13324" width="11.625" style="1" customWidth="1"/>
    <col min="13325" max="13325" width="22.25" style="1" customWidth="1"/>
    <col min="13326" max="13568" width="9" style="1"/>
    <col min="13569" max="13569" width="12.25" style="1" customWidth="1"/>
    <col min="13570" max="13570" width="25" style="1" customWidth="1"/>
    <col min="13571" max="13571" width="31.625" style="1" customWidth="1"/>
    <col min="13572" max="13573" width="36" style="1" customWidth="1"/>
    <col min="13574" max="13578" width="11.625" style="1" customWidth="1"/>
    <col min="13579" max="13579" width="18.25" style="1" customWidth="1"/>
    <col min="13580" max="13580" width="11.625" style="1" customWidth="1"/>
    <col min="13581" max="13581" width="22.25" style="1" customWidth="1"/>
    <col min="13582" max="13824" width="9" style="1"/>
    <col min="13825" max="13825" width="12.25" style="1" customWidth="1"/>
    <col min="13826" max="13826" width="25" style="1" customWidth="1"/>
    <col min="13827" max="13827" width="31.625" style="1" customWidth="1"/>
    <col min="13828" max="13829" width="36" style="1" customWidth="1"/>
    <col min="13830" max="13834" width="11.625" style="1" customWidth="1"/>
    <col min="13835" max="13835" width="18.25" style="1" customWidth="1"/>
    <col min="13836" max="13836" width="11.625" style="1" customWidth="1"/>
    <col min="13837" max="13837" width="22.25" style="1" customWidth="1"/>
    <col min="13838" max="14080" width="9" style="1"/>
    <col min="14081" max="14081" width="12.25" style="1" customWidth="1"/>
    <col min="14082" max="14082" width="25" style="1" customWidth="1"/>
    <col min="14083" max="14083" width="31.625" style="1" customWidth="1"/>
    <col min="14084" max="14085" width="36" style="1" customWidth="1"/>
    <col min="14086" max="14090" width="11.625" style="1" customWidth="1"/>
    <col min="14091" max="14091" width="18.25" style="1" customWidth="1"/>
    <col min="14092" max="14092" width="11.625" style="1" customWidth="1"/>
    <col min="14093" max="14093" width="22.25" style="1" customWidth="1"/>
    <col min="14094" max="14336" width="9" style="1"/>
    <col min="14337" max="14337" width="12.25" style="1" customWidth="1"/>
    <col min="14338" max="14338" width="25" style="1" customWidth="1"/>
    <col min="14339" max="14339" width="31.625" style="1" customWidth="1"/>
    <col min="14340" max="14341" width="36" style="1" customWidth="1"/>
    <col min="14342" max="14346" width="11.625" style="1" customWidth="1"/>
    <col min="14347" max="14347" width="18.25" style="1" customWidth="1"/>
    <col min="14348" max="14348" width="11.625" style="1" customWidth="1"/>
    <col min="14349" max="14349" width="22.25" style="1" customWidth="1"/>
    <col min="14350" max="14592" width="9" style="1"/>
    <col min="14593" max="14593" width="12.25" style="1" customWidth="1"/>
    <col min="14594" max="14594" width="25" style="1" customWidth="1"/>
    <col min="14595" max="14595" width="31.625" style="1" customWidth="1"/>
    <col min="14596" max="14597" width="36" style="1" customWidth="1"/>
    <col min="14598" max="14602" width="11.625" style="1" customWidth="1"/>
    <col min="14603" max="14603" width="18.25" style="1" customWidth="1"/>
    <col min="14604" max="14604" width="11.625" style="1" customWidth="1"/>
    <col min="14605" max="14605" width="22.25" style="1" customWidth="1"/>
    <col min="14606" max="14848" width="9" style="1"/>
    <col min="14849" max="14849" width="12.25" style="1" customWidth="1"/>
    <col min="14850" max="14850" width="25" style="1" customWidth="1"/>
    <col min="14851" max="14851" width="31.625" style="1" customWidth="1"/>
    <col min="14852" max="14853" width="36" style="1" customWidth="1"/>
    <col min="14854" max="14858" width="11.625" style="1" customWidth="1"/>
    <col min="14859" max="14859" width="18.25" style="1" customWidth="1"/>
    <col min="14860" max="14860" width="11.625" style="1" customWidth="1"/>
    <col min="14861" max="14861" width="22.25" style="1" customWidth="1"/>
    <col min="14862" max="15104" width="9" style="1"/>
    <col min="15105" max="15105" width="12.25" style="1" customWidth="1"/>
    <col min="15106" max="15106" width="25" style="1" customWidth="1"/>
    <col min="15107" max="15107" width="31.625" style="1" customWidth="1"/>
    <col min="15108" max="15109" width="36" style="1" customWidth="1"/>
    <col min="15110" max="15114" width="11.625" style="1" customWidth="1"/>
    <col min="15115" max="15115" width="18.25" style="1" customWidth="1"/>
    <col min="15116" max="15116" width="11.625" style="1" customWidth="1"/>
    <col min="15117" max="15117" width="22.25" style="1" customWidth="1"/>
    <col min="15118" max="15360" width="9" style="1"/>
    <col min="15361" max="15361" width="12.25" style="1" customWidth="1"/>
    <col min="15362" max="15362" width="25" style="1" customWidth="1"/>
    <col min="15363" max="15363" width="31.625" style="1" customWidth="1"/>
    <col min="15364" max="15365" width="36" style="1" customWidth="1"/>
    <col min="15366" max="15370" width="11.625" style="1" customWidth="1"/>
    <col min="15371" max="15371" width="18.25" style="1" customWidth="1"/>
    <col min="15372" max="15372" width="11.625" style="1" customWidth="1"/>
    <col min="15373" max="15373" width="22.25" style="1" customWidth="1"/>
    <col min="15374" max="15616" width="9" style="1"/>
    <col min="15617" max="15617" width="12.25" style="1" customWidth="1"/>
    <col min="15618" max="15618" width="25" style="1" customWidth="1"/>
    <col min="15619" max="15619" width="31.625" style="1" customWidth="1"/>
    <col min="15620" max="15621" width="36" style="1" customWidth="1"/>
    <col min="15622" max="15626" width="11.625" style="1" customWidth="1"/>
    <col min="15627" max="15627" width="18.25" style="1" customWidth="1"/>
    <col min="15628" max="15628" width="11.625" style="1" customWidth="1"/>
    <col min="15629" max="15629" width="22.25" style="1" customWidth="1"/>
    <col min="15630" max="15872" width="9" style="1"/>
    <col min="15873" max="15873" width="12.25" style="1" customWidth="1"/>
    <col min="15874" max="15874" width="25" style="1" customWidth="1"/>
    <col min="15875" max="15875" width="31.625" style="1" customWidth="1"/>
    <col min="15876" max="15877" width="36" style="1" customWidth="1"/>
    <col min="15878" max="15882" width="11.625" style="1" customWidth="1"/>
    <col min="15883" max="15883" width="18.25" style="1" customWidth="1"/>
    <col min="15884" max="15884" width="11.625" style="1" customWidth="1"/>
    <col min="15885" max="15885" width="22.25" style="1" customWidth="1"/>
    <col min="15886" max="16128" width="9" style="1"/>
    <col min="16129" max="16129" width="12.25" style="1" customWidth="1"/>
    <col min="16130" max="16130" width="25" style="1" customWidth="1"/>
    <col min="16131" max="16131" width="31.625" style="1" customWidth="1"/>
    <col min="16132" max="16133" width="36" style="1" customWidth="1"/>
    <col min="16134" max="16138" width="11.625" style="1" customWidth="1"/>
    <col min="16139" max="16139" width="18.25" style="1" customWidth="1"/>
    <col min="16140" max="16140" width="11.625" style="1" customWidth="1"/>
    <col min="16141" max="16141" width="22.25" style="1" customWidth="1"/>
    <col min="16142" max="16384" width="9" style="1"/>
  </cols>
  <sheetData>
    <row r="1" spans="1:19" ht="39.75" customHeight="1">
      <c r="A1" s="303" t="s">
        <v>331</v>
      </c>
      <c r="B1" s="304"/>
      <c r="C1" s="304"/>
      <c r="D1" s="304"/>
      <c r="E1" s="304"/>
      <c r="F1" s="304"/>
      <c r="G1" s="304"/>
      <c r="H1" s="304"/>
      <c r="I1" s="304"/>
      <c r="J1" s="304"/>
      <c r="K1" s="304"/>
      <c r="L1" s="304"/>
      <c r="M1" s="304"/>
      <c r="S1" s="34" t="s">
        <v>246</v>
      </c>
    </row>
    <row r="2" spans="1:19" s="35" customFormat="1" ht="21.95" customHeight="1">
      <c r="A2" s="333" t="s">
        <v>191</v>
      </c>
      <c r="B2" s="305" t="s">
        <v>332</v>
      </c>
      <c r="C2" s="305"/>
      <c r="D2" s="306" t="str">
        <f ca="1">IF(OFFSET(INDIRECT($S$1&amp;"!"&amp;ADDRESS(1,1)),1,0)="","",OFFSET(INDIRECT($S$1&amp;"!"&amp;ADDRESS(1,1)),1,0))</f>
        <v>赵乔娜</v>
      </c>
      <c r="E2" s="306"/>
      <c r="F2" s="306"/>
      <c r="G2" s="307" t="s">
        <v>333</v>
      </c>
      <c r="H2" s="307"/>
      <c r="I2" s="308" t="str">
        <f ca="1">IF(OFFSET(INDIRECT($S$1&amp;"!"&amp;ADDRESS(1,3)),1,0)="","",OFFSET(INDIRECT($S$1&amp;"!"&amp;ADDRESS(1,3)),1,0))</f>
        <v>晋D38831</v>
      </c>
      <c r="J2" s="308"/>
      <c r="K2" s="308" t="s">
        <v>334</v>
      </c>
      <c r="L2" s="308"/>
      <c r="M2" s="31" t="str">
        <f ca="1">IF(OFFSET(INDIRECT($S$1&amp;"!"&amp;ADDRESS(1,5)),1,0)="","",OFFSET(INDIRECT($S$1&amp;"!"&amp;ADDRESS(1,5)),1,0))</f>
        <v>LRDS6PEB2HH600208</v>
      </c>
    </row>
    <row r="3" spans="1:19" s="35" customFormat="1" ht="21.95" customHeight="1">
      <c r="A3" s="334"/>
      <c r="B3" s="309" t="s">
        <v>254</v>
      </c>
      <c r="C3" s="309"/>
      <c r="D3" s="310" t="s">
        <v>335</v>
      </c>
      <c r="E3" s="310"/>
      <c r="F3" s="310"/>
      <c r="G3" s="311" t="s">
        <v>336</v>
      </c>
      <c r="H3" s="311"/>
      <c r="I3" s="312" t="str">
        <f ca="1">IF(OFFSET(INDIRECT($S$1&amp;"!"&amp;ADDRESS(1,11)),1,0)="","",OFFSET(INDIRECT($S$1&amp;"!"&amp;ADDRESS(1,11)),1,0))&amp;"/"&amp;IF(OFFSET(INDIRECT($S$1&amp;"!"&amp;ADDRESS(1,12)),1,0)="","",OFFSET(INDIRECT($S$1&amp;"!"&amp;ADDRESS(1,12)),1,0))</f>
        <v>欧曼/BJ4253SNFKB-AC</v>
      </c>
      <c r="J3" s="312"/>
      <c r="K3" s="311" t="s">
        <v>41</v>
      </c>
      <c r="L3" s="311"/>
      <c r="M3" s="32" t="str">
        <f ca="1">IF(OFFSET(INDIRECT($S$1&amp;"!"&amp;ADDRESS(1,10)),1,0)="","",OFFSET(INDIRECT($S$1&amp;"!"&amp;ADDRESS(1,10)),1,0))</f>
        <v>ISGe5-400</v>
      </c>
    </row>
    <row r="4" spans="1:19" s="35" customFormat="1" ht="21.95" customHeight="1">
      <c r="A4" s="334"/>
      <c r="B4" s="313" t="s">
        <v>337</v>
      </c>
      <c r="C4" s="313"/>
      <c r="D4" s="310" t="str">
        <f ca="1">IF(OFFSET(INDIRECT($S$1&amp;"!"&amp;ADDRESS(1,18)),1,0)="","",OFFSET(INDIRECT($S$1&amp;"!"&amp;ADDRESS(1,18)),1,0))&amp;"人"</f>
        <v>2人</v>
      </c>
      <c r="E4" s="310"/>
      <c r="F4" s="310"/>
      <c r="G4" s="311" t="s">
        <v>271</v>
      </c>
      <c r="H4" s="311"/>
      <c r="I4" s="312">
        <v>222</v>
      </c>
      <c r="J4" s="312"/>
      <c r="K4" s="311" t="s">
        <v>338</v>
      </c>
      <c r="L4" s="311"/>
      <c r="M4" s="32" t="str">
        <f ca="1">IF(OFFSET(INDIRECT($S$1&amp;"!"&amp;ADDRESS(1,33)),1,0)="","",OFFSET(INDIRECT($S$1&amp;"!"&amp;ADDRESS(1,33)),1,0))</f>
        <v xml:space="preserve">柴油        </v>
      </c>
    </row>
    <row r="5" spans="1:19" s="35" customFormat="1" ht="24.95" customHeight="1">
      <c r="A5" s="334"/>
      <c r="B5" s="309" t="s">
        <v>339</v>
      </c>
      <c r="C5" s="309"/>
      <c r="D5" s="314" t="str">
        <f ca="1">IF(OFFSET(INDIRECT($S$1&amp;"!"&amp;ADDRESS(1,19)),1,0)="","",OFFSET(INDIRECT($S$1&amp;"!"&amp;ADDRESS(1,19)),1,0))&amp;" × "&amp;IF(OFFSET(INDIRECT($S$1&amp;"!"&amp;ADDRESS(1,20)),1,0)="","",OFFSET(INDIRECT($S$1&amp;"!"&amp;ADDRESS(1,20)),1,0)&amp;" × "&amp;IF(OFFSET(INDIRECT($S$1&amp;"!"&amp;ADDRESS(1,21)),1,0)="","",OFFSET(INDIRECT($S$1&amp;"!"&amp;ADDRESS(1,21)),1,0)))&amp;"  mm"</f>
        <v>7000 × 2495 × 3550  mm</v>
      </c>
      <c r="E5" s="314"/>
      <c r="F5" s="314"/>
      <c r="G5" s="311" t="s">
        <v>340</v>
      </c>
      <c r="H5" s="311"/>
      <c r="I5" s="312" t="str">
        <f ca="1">IF(OFFSET(INDIRECT($S$1&amp;"!"&amp;ADDRESS(1,16)),1,0)="","",OFFSET(INDIRECT($S$1&amp;"!"&amp;ADDRESS(1,16)),1,0))&amp;"kg"</f>
        <v>25000kg</v>
      </c>
      <c r="J5" s="312"/>
      <c r="K5" s="26" t="s">
        <v>341</v>
      </c>
      <c r="L5" s="312" t="str">
        <f ca="1">IF(OFFSET(INDIRECT($S$1&amp;"!"&amp;ADDRESS(1,17)),1,0)="","",OFFSET(INDIRECT($S$1&amp;"!"&amp;ADDRESS(1,17)),1,0))&amp;"kg"</f>
        <v>8805kg</v>
      </c>
      <c r="M5" s="315"/>
    </row>
    <row r="6" spans="1:19" s="35" customFormat="1" ht="24.95" customHeight="1">
      <c r="A6" s="334" t="s">
        <v>342</v>
      </c>
      <c r="B6" s="309" t="s">
        <v>343</v>
      </c>
      <c r="C6" s="309"/>
      <c r="D6" s="37"/>
      <c r="E6" s="309" t="s">
        <v>344</v>
      </c>
      <c r="F6" s="309"/>
      <c r="G6" s="316" t="s">
        <v>345</v>
      </c>
      <c r="H6" s="316"/>
      <c r="I6" s="316"/>
      <c r="J6" s="309" t="s">
        <v>346</v>
      </c>
      <c r="K6" s="309"/>
      <c r="L6" s="309"/>
      <c r="M6" s="33" t="s">
        <v>347</v>
      </c>
    </row>
    <row r="7" spans="1:19" s="35" customFormat="1" ht="24.95" customHeight="1">
      <c r="A7" s="334"/>
      <c r="B7" s="309" t="s">
        <v>348</v>
      </c>
      <c r="C7" s="309"/>
      <c r="D7" s="38" t="s">
        <v>347</v>
      </c>
      <c r="E7" s="309" t="s">
        <v>349</v>
      </c>
      <c r="F7" s="309"/>
      <c r="G7" s="309" t="s">
        <v>350</v>
      </c>
      <c r="H7" s="309"/>
      <c r="I7" s="309"/>
      <c r="J7" s="309" t="s">
        <v>351</v>
      </c>
      <c r="K7" s="309"/>
      <c r="L7" s="309"/>
      <c r="M7" s="42" t="s">
        <v>352</v>
      </c>
    </row>
    <row r="8" spans="1:19" s="35" customFormat="1" ht="24.95" customHeight="1">
      <c r="A8" s="334"/>
      <c r="B8" s="309" t="s">
        <v>353</v>
      </c>
      <c r="C8" s="309"/>
      <c r="D8" s="39" t="s">
        <v>354</v>
      </c>
      <c r="E8" s="309" t="s">
        <v>355</v>
      </c>
      <c r="F8" s="309"/>
      <c r="G8" s="309" t="s">
        <v>347</v>
      </c>
      <c r="H8" s="309"/>
      <c r="I8" s="309"/>
      <c r="J8" s="309" t="s">
        <v>356</v>
      </c>
      <c r="K8" s="309"/>
      <c r="L8" s="309"/>
      <c r="M8" s="33" t="s">
        <v>347</v>
      </c>
    </row>
    <row r="9" spans="1:19" s="35" customFormat="1" ht="24.95" customHeight="1">
      <c r="A9" s="334"/>
      <c r="B9" s="309" t="s">
        <v>357</v>
      </c>
      <c r="C9" s="309"/>
      <c r="D9" s="38" t="s">
        <v>358</v>
      </c>
      <c r="E9" s="309" t="s">
        <v>359</v>
      </c>
      <c r="F9" s="309"/>
      <c r="G9" s="309" t="s">
        <v>360</v>
      </c>
      <c r="H9" s="309"/>
      <c r="I9" s="309"/>
      <c r="J9" s="309" t="s">
        <v>361</v>
      </c>
      <c r="K9" s="309"/>
      <c r="L9" s="309"/>
      <c r="M9" s="32"/>
    </row>
    <row r="10" spans="1:19" s="35" customFormat="1" ht="30" customHeight="1">
      <c r="A10" s="334" t="s">
        <v>362</v>
      </c>
      <c r="B10" s="320" t="s">
        <v>363</v>
      </c>
      <c r="C10" s="25" t="s">
        <v>364</v>
      </c>
      <c r="D10" s="22" t="s">
        <v>347</v>
      </c>
      <c r="E10" s="309" t="s">
        <v>365</v>
      </c>
      <c r="F10" s="309"/>
      <c r="G10" s="309"/>
      <c r="H10" s="309" t="s">
        <v>347</v>
      </c>
      <c r="I10" s="309"/>
      <c r="J10" s="309" t="s">
        <v>366</v>
      </c>
      <c r="K10" s="309"/>
      <c r="L10" s="309"/>
      <c r="M10" s="33" t="s">
        <v>347</v>
      </c>
    </row>
    <row r="11" spans="1:19" s="35" customFormat="1" ht="30" customHeight="1">
      <c r="A11" s="334"/>
      <c r="B11" s="320"/>
      <c r="C11" s="25" t="s">
        <v>367</v>
      </c>
      <c r="D11" s="22" t="s">
        <v>347</v>
      </c>
      <c r="E11" s="309" t="s">
        <v>368</v>
      </c>
      <c r="F11" s="309"/>
      <c r="G11" s="309"/>
      <c r="H11" s="309" t="s">
        <v>369</v>
      </c>
      <c r="I11" s="309"/>
      <c r="J11" s="309"/>
      <c r="K11" s="309"/>
      <c r="L11" s="309"/>
      <c r="M11" s="317"/>
    </row>
    <row r="12" spans="1:19" s="35" customFormat="1" ht="30" customHeight="1">
      <c r="A12" s="334"/>
      <c r="B12" s="320"/>
      <c r="C12" s="25" t="s">
        <v>370</v>
      </c>
      <c r="D12" s="22" t="s">
        <v>347</v>
      </c>
      <c r="E12" s="22" t="s">
        <v>371</v>
      </c>
      <c r="F12" s="309" t="s">
        <v>372</v>
      </c>
      <c r="G12" s="309"/>
      <c r="H12" s="309"/>
      <c r="I12" s="309"/>
      <c r="J12" s="309"/>
      <c r="K12" s="309"/>
      <c r="L12" s="309"/>
      <c r="M12" s="317"/>
    </row>
    <row r="13" spans="1:19" s="35" customFormat="1" ht="30" customHeight="1">
      <c r="A13" s="334"/>
      <c r="B13" s="339" t="s">
        <v>373</v>
      </c>
      <c r="C13" s="25" t="s">
        <v>374</v>
      </c>
      <c r="D13" s="318" t="s">
        <v>375</v>
      </c>
      <c r="E13" s="318"/>
      <c r="F13" s="318"/>
      <c r="G13" s="318"/>
      <c r="H13" s="309" t="s">
        <v>376</v>
      </c>
      <c r="I13" s="309"/>
      <c r="J13" s="309"/>
      <c r="K13" s="309"/>
      <c r="L13" s="309"/>
      <c r="M13" s="43"/>
    </row>
    <row r="14" spans="1:19" s="35" customFormat="1" ht="30" customHeight="1">
      <c r="A14" s="334"/>
      <c r="B14" s="340"/>
      <c r="C14" s="22" t="s">
        <v>377</v>
      </c>
      <c r="D14" s="309" t="s">
        <v>378</v>
      </c>
      <c r="E14" s="309"/>
      <c r="F14" s="309"/>
      <c r="G14" s="309"/>
      <c r="H14" s="309" t="s">
        <v>379</v>
      </c>
      <c r="I14" s="309"/>
      <c r="J14" s="309"/>
      <c r="K14" s="309"/>
      <c r="L14" s="309"/>
      <c r="M14" s="33" t="s">
        <v>347</v>
      </c>
    </row>
    <row r="15" spans="1:19" s="35" customFormat="1" ht="30" customHeight="1">
      <c r="A15" s="334"/>
      <c r="B15" s="340"/>
      <c r="C15" s="319" t="s">
        <v>380</v>
      </c>
      <c r="D15" s="319"/>
      <c r="E15" s="309" t="s">
        <v>347</v>
      </c>
      <c r="F15" s="309"/>
      <c r="G15" s="309"/>
      <c r="H15" s="309" t="s">
        <v>381</v>
      </c>
      <c r="I15" s="309"/>
      <c r="J15" s="309"/>
      <c r="K15" s="309"/>
      <c r="L15" s="309"/>
      <c r="M15" s="33" t="s">
        <v>347</v>
      </c>
    </row>
    <row r="16" spans="1:19" s="35" customFormat="1" ht="21.95" customHeight="1">
      <c r="A16" s="334"/>
      <c r="B16" s="341"/>
      <c r="C16" s="320" t="s">
        <v>382</v>
      </c>
      <c r="D16" s="320"/>
      <c r="E16" s="320" t="s">
        <v>347</v>
      </c>
      <c r="F16" s="320"/>
      <c r="G16" s="320"/>
      <c r="H16" s="320" t="s">
        <v>383</v>
      </c>
      <c r="I16" s="320"/>
      <c r="J16" s="320"/>
      <c r="K16" s="320"/>
      <c r="L16" s="320"/>
      <c r="M16" s="33" t="s">
        <v>347</v>
      </c>
    </row>
    <row r="17" spans="1:13" s="35" customFormat="1" ht="21.95" customHeight="1">
      <c r="A17" s="334"/>
      <c r="B17" s="320" t="s">
        <v>384</v>
      </c>
      <c r="C17" s="320" t="s">
        <v>385</v>
      </c>
      <c r="D17" s="320"/>
      <c r="E17" s="321"/>
      <c r="F17" s="321"/>
      <c r="G17" s="321"/>
      <c r="H17" s="320" t="s">
        <v>386</v>
      </c>
      <c r="I17" s="320"/>
      <c r="J17" s="320"/>
      <c r="K17" s="320"/>
      <c r="L17" s="320"/>
      <c r="M17" s="44" t="s">
        <v>358</v>
      </c>
    </row>
    <row r="18" spans="1:13" s="35" customFormat="1" ht="21.95" customHeight="1">
      <c r="A18" s="334"/>
      <c r="B18" s="320"/>
      <c r="C18" s="320" t="s">
        <v>387</v>
      </c>
      <c r="D18" s="320"/>
      <c r="E18" s="309" t="s">
        <v>347</v>
      </c>
      <c r="F18" s="309"/>
      <c r="G18" s="309"/>
      <c r="H18" s="320" t="s">
        <v>388</v>
      </c>
      <c r="I18" s="320"/>
      <c r="J18" s="320"/>
      <c r="K18" s="320"/>
      <c r="L18" s="320"/>
      <c r="M18" s="45" t="s">
        <v>347</v>
      </c>
    </row>
    <row r="19" spans="1:13" s="35" customFormat="1" ht="24.95" customHeight="1">
      <c r="A19" s="335" t="s">
        <v>389</v>
      </c>
      <c r="B19" s="320" t="s">
        <v>390</v>
      </c>
      <c r="C19" s="320"/>
      <c r="D19" s="320"/>
      <c r="E19" s="309" t="s">
        <v>391</v>
      </c>
      <c r="F19" s="309"/>
      <c r="G19" s="309"/>
      <c r="H19" s="320" t="s">
        <v>392</v>
      </c>
      <c r="I19" s="320"/>
      <c r="J19" s="320"/>
      <c r="K19" s="320"/>
      <c r="L19" s="320"/>
      <c r="M19" s="33" t="s">
        <v>347</v>
      </c>
    </row>
    <row r="20" spans="1:13" s="35" customFormat="1" ht="24.95" customHeight="1">
      <c r="A20" s="336"/>
      <c r="B20" s="320" t="s">
        <v>393</v>
      </c>
      <c r="C20" s="320"/>
      <c r="D20" s="320"/>
      <c r="E20" s="309" t="s">
        <v>394</v>
      </c>
      <c r="F20" s="309"/>
      <c r="G20" s="309"/>
      <c r="H20" s="320" t="s">
        <v>395</v>
      </c>
      <c r="I20" s="320"/>
      <c r="J20" s="320"/>
      <c r="K20" s="320"/>
      <c r="L20" s="320"/>
      <c r="M20" s="33" t="s">
        <v>396</v>
      </c>
    </row>
    <row r="21" spans="1:13" s="35" customFormat="1" ht="21.95" customHeight="1">
      <c r="A21" s="336"/>
      <c r="B21" s="320" t="s">
        <v>397</v>
      </c>
      <c r="C21" s="320"/>
      <c r="D21" s="320"/>
      <c r="E21" s="309" t="s">
        <v>347</v>
      </c>
      <c r="F21" s="309"/>
      <c r="G21" s="309"/>
      <c r="H21" s="320" t="s">
        <v>398</v>
      </c>
      <c r="I21" s="320"/>
      <c r="J21" s="320"/>
      <c r="K21" s="320"/>
      <c r="L21" s="320"/>
      <c r="M21" s="33" t="s">
        <v>358</v>
      </c>
    </row>
    <row r="22" spans="1:13" s="35" customFormat="1" ht="21.95" customHeight="1">
      <c r="A22" s="336"/>
      <c r="B22" s="320" t="s">
        <v>399</v>
      </c>
      <c r="C22" s="320"/>
      <c r="D22" s="320"/>
      <c r="E22" s="316" t="s">
        <v>400</v>
      </c>
      <c r="F22" s="316"/>
      <c r="G22" s="316"/>
      <c r="H22" s="320" t="s">
        <v>401</v>
      </c>
      <c r="I22" s="320"/>
      <c r="J22" s="320"/>
      <c r="K22" s="320"/>
      <c r="L22" s="320"/>
      <c r="M22" s="33" t="s">
        <v>347</v>
      </c>
    </row>
    <row r="23" spans="1:13" s="35" customFormat="1" ht="21.95" customHeight="1">
      <c r="A23" s="336"/>
      <c r="B23" s="320" t="s">
        <v>402</v>
      </c>
      <c r="C23" s="320"/>
      <c r="D23" s="320"/>
      <c r="E23" s="309" t="s">
        <v>403</v>
      </c>
      <c r="F23" s="309"/>
      <c r="G23" s="309"/>
      <c r="H23" s="320" t="s">
        <v>404</v>
      </c>
      <c r="I23" s="320"/>
      <c r="J23" s="320"/>
      <c r="K23" s="320"/>
      <c r="L23" s="320"/>
      <c r="M23" s="33" t="s">
        <v>405</v>
      </c>
    </row>
    <row r="24" spans="1:13" s="35" customFormat="1" ht="21.95" customHeight="1">
      <c r="A24" s="336"/>
      <c r="B24" s="320" t="s">
        <v>406</v>
      </c>
      <c r="C24" s="320"/>
      <c r="D24" s="320"/>
      <c r="E24" s="309" t="s">
        <v>352</v>
      </c>
      <c r="F24" s="309"/>
      <c r="G24" s="309"/>
      <c r="H24" s="309" t="s">
        <v>407</v>
      </c>
      <c r="I24" s="309"/>
      <c r="J24" s="309"/>
      <c r="K24" s="309"/>
      <c r="L24" s="309"/>
      <c r="M24" s="33" t="s">
        <v>347</v>
      </c>
    </row>
    <row r="25" spans="1:13" s="35" customFormat="1" ht="21.95" customHeight="1">
      <c r="A25" s="336"/>
      <c r="B25" s="320" t="s">
        <v>408</v>
      </c>
      <c r="C25" s="320"/>
      <c r="D25" s="320"/>
      <c r="E25" s="309" t="s">
        <v>347</v>
      </c>
      <c r="F25" s="309"/>
      <c r="G25" s="309"/>
      <c r="H25" s="320" t="s">
        <v>409</v>
      </c>
      <c r="I25" s="320"/>
      <c r="J25" s="320"/>
      <c r="K25" s="320"/>
      <c r="L25" s="320"/>
      <c r="M25" s="33" t="s">
        <v>347</v>
      </c>
    </row>
    <row r="26" spans="1:13" s="35" customFormat="1" ht="21.95" customHeight="1">
      <c r="A26" s="336"/>
      <c r="B26" s="320" t="s">
        <v>410</v>
      </c>
      <c r="C26" s="320"/>
      <c r="D26" s="320"/>
      <c r="E26" s="309" t="s">
        <v>347</v>
      </c>
      <c r="F26" s="309"/>
      <c r="G26" s="309"/>
      <c r="H26" s="320" t="s">
        <v>411</v>
      </c>
      <c r="I26" s="320"/>
      <c r="J26" s="320"/>
      <c r="K26" s="320"/>
      <c r="L26" s="320"/>
      <c r="M26" s="33" t="s">
        <v>347</v>
      </c>
    </row>
    <row r="27" spans="1:13" s="35" customFormat="1" ht="37.5" customHeight="1">
      <c r="A27" s="336"/>
      <c r="B27" s="320" t="s">
        <v>412</v>
      </c>
      <c r="C27" s="320"/>
      <c r="D27" s="320"/>
      <c r="E27" s="309" t="s">
        <v>413</v>
      </c>
      <c r="F27" s="309"/>
      <c r="G27" s="309"/>
      <c r="H27" s="309"/>
      <c r="I27" s="309"/>
      <c r="J27" s="309"/>
      <c r="K27" s="309"/>
      <c r="L27" s="309"/>
      <c r="M27" s="317"/>
    </row>
    <row r="28" spans="1:13" s="35" customFormat="1" ht="33" customHeight="1">
      <c r="A28" s="337"/>
      <c r="B28" s="322" t="s">
        <v>414</v>
      </c>
      <c r="C28" s="322"/>
      <c r="D28" s="322"/>
      <c r="E28" s="323" t="s">
        <v>415</v>
      </c>
      <c r="F28" s="323"/>
      <c r="G28" s="323"/>
      <c r="H28" s="323"/>
      <c r="I28" s="323"/>
      <c r="J28" s="323"/>
      <c r="K28" s="323"/>
      <c r="L28" s="323"/>
      <c r="M28" s="324"/>
    </row>
    <row r="29" spans="1:13" ht="1.5" customHeight="1">
      <c r="A29" s="28"/>
      <c r="B29" s="28"/>
      <c r="C29" s="28"/>
      <c r="D29" s="28"/>
      <c r="E29" s="28"/>
      <c r="F29" s="28"/>
      <c r="G29" s="28"/>
      <c r="H29" s="28"/>
      <c r="I29" s="28"/>
      <c r="J29" s="28"/>
      <c r="K29" s="28"/>
      <c r="L29" s="28"/>
      <c r="M29" s="28"/>
    </row>
    <row r="30" spans="1:13">
      <c r="A30"/>
      <c r="B30"/>
      <c r="C30"/>
      <c r="D30"/>
      <c r="E30"/>
      <c r="F30"/>
      <c r="G30"/>
      <c r="H30"/>
      <c r="I30"/>
      <c r="J30"/>
      <c r="K30"/>
      <c r="L30"/>
      <c r="M30"/>
    </row>
    <row r="31" spans="1:13" ht="29.25" customHeight="1">
      <c r="A31" s="325" t="s">
        <v>416</v>
      </c>
      <c r="B31" s="326"/>
      <c r="C31" s="326"/>
      <c r="D31" s="326"/>
      <c r="E31" s="326"/>
      <c r="F31" s="326"/>
      <c r="G31" s="326"/>
      <c r="H31" s="326"/>
      <c r="I31" s="326"/>
      <c r="J31" s="326"/>
      <c r="K31" s="326"/>
      <c r="L31" s="326"/>
      <c r="M31" s="326"/>
    </row>
    <row r="32" spans="1:13" s="36" customFormat="1" ht="30" customHeight="1">
      <c r="A32" s="338" t="s">
        <v>417</v>
      </c>
      <c r="B32" s="305" t="s">
        <v>418</v>
      </c>
      <c r="C32" s="305"/>
      <c r="D32" s="305" t="s">
        <v>419</v>
      </c>
      <c r="E32" s="305"/>
      <c r="F32" s="305"/>
      <c r="G32" s="305" t="s">
        <v>420</v>
      </c>
      <c r="H32" s="305"/>
      <c r="I32" s="305"/>
      <c r="J32" s="305"/>
      <c r="K32" s="327" t="s">
        <v>421</v>
      </c>
      <c r="L32" s="327"/>
      <c r="M32" s="328"/>
    </row>
    <row r="33" spans="1:13" s="36" customFormat="1" ht="30" customHeight="1">
      <c r="A33" s="329"/>
      <c r="B33" s="309" t="s">
        <v>422</v>
      </c>
      <c r="C33" s="309"/>
      <c r="D33" s="309"/>
      <c r="E33" s="309"/>
      <c r="F33" s="309"/>
      <c r="G33" s="309" t="s">
        <v>423</v>
      </c>
      <c r="H33" s="309"/>
      <c r="I33" s="309"/>
      <c r="J33" s="309"/>
      <c r="K33" s="309"/>
      <c r="L33" s="309"/>
      <c r="M33" s="317"/>
    </row>
    <row r="34" spans="1:13" s="36" customFormat="1" ht="30" customHeight="1">
      <c r="A34" s="329"/>
      <c r="B34" s="309" t="s">
        <v>424</v>
      </c>
      <c r="C34" s="309"/>
      <c r="D34" s="309"/>
      <c r="E34" s="309"/>
      <c r="F34" s="309"/>
      <c r="G34" s="309" t="s">
        <v>425</v>
      </c>
      <c r="H34" s="309"/>
      <c r="I34" s="309"/>
      <c r="J34" s="309"/>
      <c r="K34" s="309"/>
      <c r="L34" s="309"/>
      <c r="M34" s="317"/>
    </row>
    <row r="35" spans="1:13" s="36" customFormat="1" ht="30" customHeight="1">
      <c r="A35" s="329"/>
      <c r="B35" s="309" t="s">
        <v>426</v>
      </c>
      <c r="C35" s="309"/>
      <c r="D35" s="309"/>
      <c r="E35" s="309"/>
      <c r="F35" s="309"/>
      <c r="G35" s="309" t="s">
        <v>427</v>
      </c>
      <c r="H35" s="309"/>
      <c r="I35" s="309"/>
      <c r="J35" s="309"/>
      <c r="K35" s="309" t="s">
        <v>347</v>
      </c>
      <c r="L35" s="309"/>
      <c r="M35" s="317"/>
    </row>
    <row r="36" spans="1:13" s="36" customFormat="1" ht="30" customHeight="1">
      <c r="A36" s="329"/>
      <c r="B36" s="309" t="s">
        <v>428</v>
      </c>
      <c r="C36" s="309"/>
      <c r="D36" s="309"/>
      <c r="E36" s="309"/>
      <c r="F36" s="309"/>
      <c r="G36" s="309" t="s">
        <v>429</v>
      </c>
      <c r="H36" s="309"/>
      <c r="I36" s="309"/>
      <c r="J36" s="309"/>
      <c r="K36" s="309" t="s">
        <v>403</v>
      </c>
      <c r="L36" s="309"/>
      <c r="M36" s="317"/>
    </row>
    <row r="37" spans="1:13" s="36" customFormat="1" ht="30" customHeight="1">
      <c r="A37" s="329"/>
      <c r="B37" s="316" t="s">
        <v>430</v>
      </c>
      <c r="C37" s="316"/>
      <c r="D37" s="309" t="s">
        <v>347</v>
      </c>
      <c r="E37" s="309"/>
      <c r="F37" s="309"/>
      <c r="G37" s="309" t="s">
        <v>431</v>
      </c>
      <c r="H37" s="309"/>
      <c r="I37" s="309"/>
      <c r="J37" s="309"/>
      <c r="K37" s="309" t="s">
        <v>347</v>
      </c>
      <c r="L37" s="309"/>
      <c r="M37" s="317"/>
    </row>
    <row r="38" spans="1:13" s="36" customFormat="1" ht="30" customHeight="1">
      <c r="A38" s="329"/>
      <c r="B38" s="316" t="s">
        <v>432</v>
      </c>
      <c r="C38" s="316"/>
      <c r="D38" s="309" t="s">
        <v>347</v>
      </c>
      <c r="E38" s="309"/>
      <c r="F38" s="309"/>
      <c r="G38" s="309" t="s">
        <v>433</v>
      </c>
      <c r="H38" s="309"/>
      <c r="I38" s="309"/>
      <c r="J38" s="309"/>
      <c r="K38" s="309" t="s">
        <v>347</v>
      </c>
      <c r="L38" s="309"/>
      <c r="M38" s="317"/>
    </row>
    <row r="39" spans="1:13" s="36" customFormat="1" ht="30" customHeight="1">
      <c r="A39" s="329"/>
      <c r="B39" s="316" t="s">
        <v>434</v>
      </c>
      <c r="C39" s="316"/>
      <c r="D39" s="309" t="s">
        <v>347</v>
      </c>
      <c r="E39" s="309"/>
      <c r="F39" s="309"/>
      <c r="G39" s="309" t="s">
        <v>435</v>
      </c>
      <c r="H39" s="309"/>
      <c r="I39" s="309"/>
      <c r="J39" s="309"/>
      <c r="K39" s="309" t="s">
        <v>347</v>
      </c>
      <c r="L39" s="309"/>
      <c r="M39" s="317"/>
    </row>
    <row r="40" spans="1:13" s="36" customFormat="1" ht="30" customHeight="1">
      <c r="A40" s="329"/>
      <c r="B40" s="316" t="s">
        <v>436</v>
      </c>
      <c r="C40" s="316"/>
      <c r="D40" s="309"/>
      <c r="E40" s="309"/>
      <c r="F40" s="309"/>
      <c r="G40" s="309" t="s">
        <v>437</v>
      </c>
      <c r="H40" s="309"/>
      <c r="I40" s="309"/>
      <c r="J40" s="309"/>
      <c r="K40" s="309" t="s">
        <v>347</v>
      </c>
      <c r="L40" s="309"/>
      <c r="M40" s="317"/>
    </row>
    <row r="41" spans="1:13" s="36" customFormat="1" ht="30" customHeight="1">
      <c r="A41" s="329"/>
      <c r="B41" s="316" t="s">
        <v>438</v>
      </c>
      <c r="C41" s="316"/>
      <c r="D41" s="309" t="s">
        <v>439</v>
      </c>
      <c r="E41" s="309"/>
      <c r="F41" s="309"/>
      <c r="G41" s="309" t="s">
        <v>440</v>
      </c>
      <c r="H41" s="309"/>
      <c r="I41" s="309"/>
      <c r="J41" s="309"/>
      <c r="K41" s="309" t="s">
        <v>347</v>
      </c>
      <c r="L41" s="309"/>
      <c r="M41" s="317"/>
    </row>
    <row r="42" spans="1:13" s="36" customFormat="1" ht="30" customHeight="1">
      <c r="A42" s="329"/>
      <c r="B42" s="316" t="s">
        <v>441</v>
      </c>
      <c r="C42" s="316"/>
      <c r="D42" s="309" t="s">
        <v>347</v>
      </c>
      <c r="E42" s="309"/>
      <c r="F42" s="309"/>
      <c r="G42" s="309" t="s">
        <v>442</v>
      </c>
      <c r="H42" s="309"/>
      <c r="I42" s="309"/>
      <c r="J42" s="309"/>
      <c r="K42" s="309" t="s">
        <v>347</v>
      </c>
      <c r="L42" s="309"/>
      <c r="M42" s="317"/>
    </row>
    <row r="43" spans="1:13" s="36" customFormat="1" ht="30" customHeight="1">
      <c r="A43" s="329"/>
      <c r="B43" s="316" t="s">
        <v>443</v>
      </c>
      <c r="C43" s="316"/>
      <c r="D43" s="309" t="s">
        <v>444</v>
      </c>
      <c r="E43" s="309"/>
      <c r="F43" s="309"/>
      <c r="G43" s="309" t="s">
        <v>445</v>
      </c>
      <c r="H43" s="309"/>
      <c r="I43" s="309"/>
      <c r="J43" s="309"/>
      <c r="K43" s="309" t="s">
        <v>446</v>
      </c>
      <c r="L43" s="309"/>
      <c r="M43" s="317"/>
    </row>
    <row r="44" spans="1:13" s="36" customFormat="1" ht="30" customHeight="1">
      <c r="A44" s="329"/>
      <c r="B44" s="316"/>
      <c r="C44" s="316"/>
      <c r="D44" s="309" t="s">
        <v>447</v>
      </c>
      <c r="E44" s="309"/>
      <c r="F44" s="309"/>
      <c r="G44" s="309"/>
      <c r="H44" s="309"/>
      <c r="I44" s="309"/>
      <c r="J44" s="309"/>
      <c r="K44" s="309"/>
      <c r="L44" s="309"/>
      <c r="M44" s="317"/>
    </row>
    <row r="45" spans="1:13" s="36" customFormat="1" ht="30" customHeight="1">
      <c r="A45" s="329"/>
      <c r="B45" s="316" t="s">
        <v>448</v>
      </c>
      <c r="C45" s="316"/>
      <c r="D45" s="309" t="s">
        <v>347</v>
      </c>
      <c r="E45" s="309"/>
      <c r="F45" s="309"/>
      <c r="G45" s="309" t="s">
        <v>449</v>
      </c>
      <c r="H45" s="309"/>
      <c r="I45" s="309"/>
      <c r="J45" s="309"/>
      <c r="K45" s="309" t="s">
        <v>347</v>
      </c>
      <c r="L45" s="309"/>
      <c r="M45" s="317"/>
    </row>
    <row r="46" spans="1:13" s="36" customFormat="1" ht="30" customHeight="1">
      <c r="A46" s="329"/>
      <c r="B46" s="316" t="s">
        <v>450</v>
      </c>
      <c r="C46" s="316"/>
      <c r="D46" s="309"/>
      <c r="E46" s="309"/>
      <c r="F46" s="309"/>
      <c r="G46" s="309" t="s">
        <v>451</v>
      </c>
      <c r="H46" s="309"/>
      <c r="I46" s="309"/>
      <c r="J46" s="309"/>
      <c r="K46" s="309" t="s">
        <v>347</v>
      </c>
      <c r="L46" s="309"/>
      <c r="M46" s="317"/>
    </row>
    <row r="47" spans="1:13" s="36" customFormat="1" ht="30" customHeight="1">
      <c r="A47" s="329"/>
      <c r="B47" s="316" t="s">
        <v>452</v>
      </c>
      <c r="C47" s="316"/>
      <c r="D47" s="309" t="s">
        <v>347</v>
      </c>
      <c r="E47" s="309"/>
      <c r="F47" s="309"/>
      <c r="G47" s="309" t="s">
        <v>453</v>
      </c>
      <c r="H47" s="309"/>
      <c r="I47" s="309"/>
      <c r="J47" s="309"/>
      <c r="K47" s="309" t="s">
        <v>347</v>
      </c>
      <c r="L47" s="309"/>
      <c r="M47" s="317"/>
    </row>
    <row r="48" spans="1:13" s="36" customFormat="1" ht="30" customHeight="1">
      <c r="A48" s="329"/>
      <c r="B48" s="316" t="s">
        <v>454</v>
      </c>
      <c r="C48" s="316"/>
      <c r="D48" s="309" t="s">
        <v>347</v>
      </c>
      <c r="E48" s="309"/>
      <c r="F48" s="309"/>
      <c r="G48" s="309" t="s">
        <v>455</v>
      </c>
      <c r="H48" s="309"/>
      <c r="I48" s="309"/>
      <c r="J48" s="309"/>
      <c r="K48" s="309" t="s">
        <v>347</v>
      </c>
      <c r="L48" s="309"/>
      <c r="M48" s="317"/>
    </row>
    <row r="49" spans="1:13" s="36" customFormat="1" ht="30" customHeight="1">
      <c r="A49" s="329"/>
      <c r="B49" s="316" t="s">
        <v>456</v>
      </c>
      <c r="C49" s="316"/>
      <c r="D49" s="309" t="s">
        <v>347</v>
      </c>
      <c r="E49" s="309"/>
      <c r="F49" s="309"/>
      <c r="G49" s="309"/>
      <c r="H49" s="309"/>
      <c r="I49" s="309"/>
      <c r="J49" s="309"/>
      <c r="K49" s="309"/>
      <c r="L49" s="309"/>
      <c r="M49" s="317"/>
    </row>
    <row r="50" spans="1:13" s="36" customFormat="1" ht="35.1" customHeight="1">
      <c r="A50" s="329" t="s">
        <v>457</v>
      </c>
      <c r="B50" s="309"/>
      <c r="C50" s="309"/>
      <c r="D50" s="309" t="s">
        <v>458</v>
      </c>
      <c r="E50" s="309"/>
      <c r="F50" s="309"/>
      <c r="G50" s="309" t="s">
        <v>459</v>
      </c>
      <c r="H50" s="309"/>
      <c r="I50" s="309"/>
      <c r="J50" s="309"/>
      <c r="K50" s="309" t="s">
        <v>460</v>
      </c>
      <c r="L50" s="309"/>
      <c r="M50" s="317"/>
    </row>
    <row r="51" spans="1:13" s="36" customFormat="1" ht="35.1" customHeight="1">
      <c r="A51" s="329" t="s">
        <v>461</v>
      </c>
      <c r="B51" s="309"/>
      <c r="C51" s="309"/>
      <c r="D51" s="309"/>
      <c r="E51" s="309"/>
      <c r="F51" s="309"/>
      <c r="G51" s="309"/>
      <c r="H51" s="309"/>
      <c r="I51" s="309"/>
      <c r="J51" s="309"/>
      <c r="K51" s="309"/>
      <c r="L51" s="309"/>
      <c r="M51" s="317"/>
    </row>
    <row r="52" spans="1:13" s="36" customFormat="1" ht="49.5" customHeight="1">
      <c r="A52" s="40" t="s">
        <v>462</v>
      </c>
      <c r="B52" s="330" t="s">
        <v>463</v>
      </c>
      <c r="C52" s="330"/>
      <c r="D52" s="330"/>
      <c r="E52" s="330"/>
      <c r="F52" s="330"/>
      <c r="G52" s="330"/>
      <c r="H52" s="330"/>
      <c r="I52" s="330"/>
      <c r="J52" s="330"/>
      <c r="K52" s="330"/>
      <c r="L52" s="330"/>
      <c r="M52" s="331"/>
    </row>
    <row r="53" spans="1:13" s="36" customFormat="1" ht="31.15" customHeight="1">
      <c r="A53" s="332" t="s">
        <v>464</v>
      </c>
      <c r="B53" s="323"/>
      <c r="C53" s="323"/>
      <c r="D53" s="323"/>
      <c r="E53" s="323"/>
      <c r="F53" s="323"/>
      <c r="G53" s="323"/>
      <c r="H53" s="323"/>
      <c r="I53" s="323"/>
      <c r="J53" s="323"/>
      <c r="K53" s="323"/>
      <c r="L53" s="323"/>
      <c r="M53" s="324"/>
    </row>
    <row r="54" spans="1:13" ht="18.75">
      <c r="A54" s="41"/>
    </row>
    <row r="55" spans="1:13" ht="18.75">
      <c r="A55" s="41"/>
    </row>
    <row r="56" spans="1:13" ht="18.75">
      <c r="A56" s="41"/>
    </row>
  </sheetData>
  <mergeCells count="176">
    <mergeCell ref="A51:C51"/>
    <mergeCell ref="D51:M51"/>
    <mergeCell ref="B52:M52"/>
    <mergeCell ref="A53:M53"/>
    <mergeCell ref="A2:A5"/>
    <mergeCell ref="A6:A9"/>
    <mergeCell ref="A10:A18"/>
    <mergeCell ref="A19:A28"/>
    <mergeCell ref="A32:A49"/>
    <mergeCell ref="B10:B12"/>
    <mergeCell ref="B13:B16"/>
    <mergeCell ref="B17:B18"/>
    <mergeCell ref="B48:C48"/>
    <mergeCell ref="D48:F48"/>
    <mergeCell ref="G48:J48"/>
    <mergeCell ref="K48:M48"/>
    <mergeCell ref="B49:C49"/>
    <mergeCell ref="D49:F49"/>
    <mergeCell ref="G49:J49"/>
    <mergeCell ref="K49:M49"/>
    <mergeCell ref="A50:C50"/>
    <mergeCell ref="D50:F50"/>
    <mergeCell ref="G50:J50"/>
    <mergeCell ref="K50:M50"/>
    <mergeCell ref="B45:C45"/>
    <mergeCell ref="D45:F45"/>
    <mergeCell ref="G45:J45"/>
    <mergeCell ref="K45:M45"/>
    <mergeCell ref="B46:C46"/>
    <mergeCell ref="D46:F46"/>
    <mergeCell ref="G46:J46"/>
    <mergeCell ref="K46:M46"/>
    <mergeCell ref="B47:C47"/>
    <mergeCell ref="D47:F47"/>
    <mergeCell ref="G47:J47"/>
    <mergeCell ref="K47:M47"/>
    <mergeCell ref="B42:C42"/>
    <mergeCell ref="D42:F42"/>
    <mergeCell ref="G42:J42"/>
    <mergeCell ref="K42:M42"/>
    <mergeCell ref="B43:C43"/>
    <mergeCell ref="D43:F43"/>
    <mergeCell ref="G43:J43"/>
    <mergeCell ref="K43:M43"/>
    <mergeCell ref="B44:C44"/>
    <mergeCell ref="D44:F44"/>
    <mergeCell ref="G44:J44"/>
    <mergeCell ref="K44:M44"/>
    <mergeCell ref="B39:C39"/>
    <mergeCell ref="D39:F39"/>
    <mergeCell ref="G39:J39"/>
    <mergeCell ref="K39:M39"/>
    <mergeCell ref="B40:C40"/>
    <mergeCell ref="D40:F40"/>
    <mergeCell ref="G40:J40"/>
    <mergeCell ref="K40:M40"/>
    <mergeCell ref="B41:C41"/>
    <mergeCell ref="D41:F41"/>
    <mergeCell ref="G41:J41"/>
    <mergeCell ref="K41:M41"/>
    <mergeCell ref="B36:C36"/>
    <mergeCell ref="D36:F36"/>
    <mergeCell ref="G36:J36"/>
    <mergeCell ref="K36:M36"/>
    <mergeCell ref="B37:C37"/>
    <mergeCell ref="D37:F37"/>
    <mergeCell ref="G37:J37"/>
    <mergeCell ref="K37:M37"/>
    <mergeCell ref="B38:C38"/>
    <mergeCell ref="D38:F38"/>
    <mergeCell ref="G38:J38"/>
    <mergeCell ref="K38:M38"/>
    <mergeCell ref="B33:C33"/>
    <mergeCell ref="D33:F33"/>
    <mergeCell ref="G33:J33"/>
    <mergeCell ref="K33:M33"/>
    <mergeCell ref="B34:C34"/>
    <mergeCell ref="D34:F34"/>
    <mergeCell ref="G34:J34"/>
    <mergeCell ref="K34:M34"/>
    <mergeCell ref="B35:C35"/>
    <mergeCell ref="D35:F35"/>
    <mergeCell ref="G35:J35"/>
    <mergeCell ref="K35:M35"/>
    <mergeCell ref="B26:D26"/>
    <mergeCell ref="E26:G26"/>
    <mergeCell ref="H26:L26"/>
    <mergeCell ref="B27:D27"/>
    <mergeCell ref="E27:M27"/>
    <mergeCell ref="B28:D28"/>
    <mergeCell ref="E28:M28"/>
    <mergeCell ref="A31:M31"/>
    <mergeCell ref="B32:C32"/>
    <mergeCell ref="D32:F32"/>
    <mergeCell ref="G32:J32"/>
    <mergeCell ref="K32:M32"/>
    <mergeCell ref="B23:D23"/>
    <mergeCell ref="E23:G23"/>
    <mergeCell ref="H23:L23"/>
    <mergeCell ref="B24:D24"/>
    <mergeCell ref="E24:G24"/>
    <mergeCell ref="H24:L24"/>
    <mergeCell ref="B25:D25"/>
    <mergeCell ref="E25:G25"/>
    <mergeCell ref="H25:L25"/>
    <mergeCell ref="B20:D20"/>
    <mergeCell ref="E20:G20"/>
    <mergeCell ref="H20:L20"/>
    <mergeCell ref="B21:D21"/>
    <mergeCell ref="E21:G21"/>
    <mergeCell ref="H21:L21"/>
    <mergeCell ref="B22:D22"/>
    <mergeCell ref="E22:G22"/>
    <mergeCell ref="H22:L22"/>
    <mergeCell ref="C17:D17"/>
    <mergeCell ref="E17:G17"/>
    <mergeCell ref="H17:L17"/>
    <mergeCell ref="C18:D18"/>
    <mergeCell ref="E18:G18"/>
    <mergeCell ref="H18:L18"/>
    <mergeCell ref="B19:D19"/>
    <mergeCell ref="E19:G19"/>
    <mergeCell ref="H19:L19"/>
    <mergeCell ref="F12:M12"/>
    <mergeCell ref="D13:G13"/>
    <mergeCell ref="H13:L13"/>
    <mergeCell ref="D14:G14"/>
    <mergeCell ref="H14:L14"/>
    <mergeCell ref="C15:D15"/>
    <mergeCell ref="E15:G15"/>
    <mergeCell ref="H15:L15"/>
    <mergeCell ref="C16:D16"/>
    <mergeCell ref="E16:G16"/>
    <mergeCell ref="H16:L16"/>
    <mergeCell ref="B9:C9"/>
    <mergeCell ref="E9:F9"/>
    <mergeCell ref="G9:I9"/>
    <mergeCell ref="J9:L9"/>
    <mergeCell ref="E10:G10"/>
    <mergeCell ref="H10:I10"/>
    <mergeCell ref="J10:L10"/>
    <mergeCell ref="E11:G11"/>
    <mergeCell ref="H11:M11"/>
    <mergeCell ref="B6:C6"/>
    <mergeCell ref="E6:F6"/>
    <mergeCell ref="G6:I6"/>
    <mergeCell ref="J6:L6"/>
    <mergeCell ref="B7:C7"/>
    <mergeCell ref="E7:F7"/>
    <mergeCell ref="G7:I7"/>
    <mergeCell ref="J7:L7"/>
    <mergeCell ref="B8:C8"/>
    <mergeCell ref="E8:F8"/>
    <mergeCell ref="G8:I8"/>
    <mergeCell ref="J8:L8"/>
    <mergeCell ref="B4:C4"/>
    <mergeCell ref="D4:F4"/>
    <mergeCell ref="G4:H4"/>
    <mergeCell ref="I4:J4"/>
    <mergeCell ref="K4:L4"/>
    <mergeCell ref="B5:C5"/>
    <mergeCell ref="D5:F5"/>
    <mergeCell ref="G5:H5"/>
    <mergeCell ref="I5:J5"/>
    <mergeCell ref="L5:M5"/>
    <mergeCell ref="A1:M1"/>
    <mergeCell ref="B2:C2"/>
    <mergeCell ref="D2:F2"/>
    <mergeCell ref="G2:H2"/>
    <mergeCell ref="I2:J2"/>
    <mergeCell ref="K2:L2"/>
    <mergeCell ref="B3:C3"/>
    <mergeCell ref="D3:F3"/>
    <mergeCell ref="G3:H3"/>
    <mergeCell ref="I3:J3"/>
    <mergeCell ref="K3:L3"/>
  </mergeCells>
  <phoneticPr fontId="93" type="noConversion"/>
  <pageMargins left="0.32986111111111099" right="0.26944444444444399" top="0.59027777777777801" bottom="0.59027777777777801" header="0.51180555555555596" footer="0.51180555555555596"/>
  <pageSetup paperSize="9" orientation="portrait" horizontalDpi="1200" verticalDpi="1200" r:id="rId1"/>
</worksheet>
</file>

<file path=xl/worksheets/sheet13.xml><?xml version="1.0" encoding="utf-8"?>
<worksheet xmlns="http://schemas.openxmlformats.org/spreadsheetml/2006/main" xmlns:r="http://schemas.openxmlformats.org/officeDocument/2006/relationships">
  <sheetPr codeName="Sheet13">
    <tabColor rgb="FFFF0000"/>
  </sheetPr>
  <dimension ref="A1:S27"/>
  <sheetViews>
    <sheetView showGridLines="0" view="pageBreakPreview" zoomScale="91" zoomScaleNormal="100" zoomScaleSheetLayoutView="91" workbookViewId="0">
      <selection activeCell="P9" sqref="P9"/>
    </sheetView>
  </sheetViews>
  <sheetFormatPr defaultColWidth="9" defaultRowHeight="13.5"/>
  <cols>
    <col min="1" max="1" width="4.25" style="18" customWidth="1"/>
    <col min="2" max="2" width="2.625" customWidth="1"/>
    <col min="3" max="3" width="10.375" customWidth="1"/>
    <col min="4" max="4" width="14.125" customWidth="1"/>
    <col min="5" max="5" width="5.5" customWidth="1"/>
    <col min="6" max="6" width="12.75" customWidth="1"/>
    <col min="7" max="7" width="14.625" customWidth="1"/>
    <col min="8" max="8" width="1.625" customWidth="1"/>
    <col min="9" max="9" width="10.75" customWidth="1"/>
    <col min="10" max="10" width="1.5" customWidth="1"/>
    <col min="11" max="11" width="4.375" customWidth="1"/>
    <col min="12" max="12" width="13.875" customWidth="1"/>
    <col min="257" max="257" width="7" customWidth="1"/>
    <col min="258" max="258" width="2.625" customWidth="1"/>
    <col min="259" max="259" width="10.375" customWidth="1"/>
    <col min="260" max="260" width="19.25" customWidth="1"/>
    <col min="261" max="261" width="6.75" customWidth="1"/>
    <col min="262" max="262" width="11.375" customWidth="1"/>
    <col min="263" max="263" width="14.625" customWidth="1"/>
    <col min="264" max="264" width="1.625" customWidth="1"/>
    <col min="265" max="265" width="10.75" customWidth="1"/>
    <col min="266" max="266" width="3.125" customWidth="1"/>
    <col min="267" max="267" width="5.25" customWidth="1"/>
    <col min="268" max="268" width="9.375" customWidth="1"/>
    <col min="513" max="513" width="7" customWidth="1"/>
    <col min="514" max="514" width="2.625" customWidth="1"/>
    <col min="515" max="515" width="10.375" customWidth="1"/>
    <col min="516" max="516" width="19.25" customWidth="1"/>
    <col min="517" max="517" width="6.75" customWidth="1"/>
    <col min="518" max="518" width="11.375" customWidth="1"/>
    <col min="519" max="519" width="14.625" customWidth="1"/>
    <col min="520" max="520" width="1.625" customWidth="1"/>
    <col min="521" max="521" width="10.75" customWidth="1"/>
    <col min="522" max="522" width="3.125" customWidth="1"/>
    <col min="523" max="523" width="5.25" customWidth="1"/>
    <col min="524" max="524" width="9.375" customWidth="1"/>
    <col min="769" max="769" width="7" customWidth="1"/>
    <col min="770" max="770" width="2.625" customWidth="1"/>
    <col min="771" max="771" width="10.375" customWidth="1"/>
    <col min="772" max="772" width="19.25" customWidth="1"/>
    <col min="773" max="773" width="6.75" customWidth="1"/>
    <col min="774" max="774" width="11.375" customWidth="1"/>
    <col min="775" max="775" width="14.625" customWidth="1"/>
    <col min="776" max="776" width="1.625" customWidth="1"/>
    <col min="777" max="777" width="10.75" customWidth="1"/>
    <col min="778" max="778" width="3.125" customWidth="1"/>
    <col min="779" max="779" width="5.25" customWidth="1"/>
    <col min="780" max="780" width="9.375" customWidth="1"/>
    <col min="1025" max="1025" width="7" customWidth="1"/>
    <col min="1026" max="1026" width="2.625" customWidth="1"/>
    <col min="1027" max="1027" width="10.375" customWidth="1"/>
    <col min="1028" max="1028" width="19.25" customWidth="1"/>
    <col min="1029" max="1029" width="6.75" customWidth="1"/>
    <col min="1030" max="1030" width="11.375" customWidth="1"/>
    <col min="1031" max="1031" width="14.625" customWidth="1"/>
    <col min="1032" max="1032" width="1.625" customWidth="1"/>
    <col min="1033" max="1033" width="10.75" customWidth="1"/>
    <col min="1034" max="1034" width="3.125" customWidth="1"/>
    <col min="1035" max="1035" width="5.25" customWidth="1"/>
    <col min="1036" max="1036" width="9.375" customWidth="1"/>
    <col min="1281" max="1281" width="7" customWidth="1"/>
    <col min="1282" max="1282" width="2.625" customWidth="1"/>
    <col min="1283" max="1283" width="10.375" customWidth="1"/>
    <col min="1284" max="1284" width="19.25" customWidth="1"/>
    <col min="1285" max="1285" width="6.75" customWidth="1"/>
    <col min="1286" max="1286" width="11.375" customWidth="1"/>
    <col min="1287" max="1287" width="14.625" customWidth="1"/>
    <col min="1288" max="1288" width="1.625" customWidth="1"/>
    <col min="1289" max="1289" width="10.75" customWidth="1"/>
    <col min="1290" max="1290" width="3.125" customWidth="1"/>
    <col min="1291" max="1291" width="5.25" customWidth="1"/>
    <col min="1292" max="1292" width="9.375" customWidth="1"/>
    <col min="1537" max="1537" width="7" customWidth="1"/>
    <col min="1538" max="1538" width="2.625" customWidth="1"/>
    <col min="1539" max="1539" width="10.375" customWidth="1"/>
    <col min="1540" max="1540" width="19.25" customWidth="1"/>
    <col min="1541" max="1541" width="6.75" customWidth="1"/>
    <col min="1542" max="1542" width="11.375" customWidth="1"/>
    <col min="1543" max="1543" width="14.625" customWidth="1"/>
    <col min="1544" max="1544" width="1.625" customWidth="1"/>
    <col min="1545" max="1545" width="10.75" customWidth="1"/>
    <col min="1546" max="1546" width="3.125" customWidth="1"/>
    <col min="1547" max="1547" width="5.25" customWidth="1"/>
    <col min="1548" max="1548" width="9.375" customWidth="1"/>
    <col min="1793" max="1793" width="7" customWidth="1"/>
    <col min="1794" max="1794" width="2.625" customWidth="1"/>
    <col min="1795" max="1795" width="10.375" customWidth="1"/>
    <col min="1796" max="1796" width="19.25" customWidth="1"/>
    <col min="1797" max="1797" width="6.75" customWidth="1"/>
    <col min="1798" max="1798" width="11.375" customWidth="1"/>
    <col min="1799" max="1799" width="14.625" customWidth="1"/>
    <col min="1800" max="1800" width="1.625" customWidth="1"/>
    <col min="1801" max="1801" width="10.75" customWidth="1"/>
    <col min="1802" max="1802" width="3.125" customWidth="1"/>
    <col min="1803" max="1803" width="5.25" customWidth="1"/>
    <col min="1804" max="1804" width="9.375" customWidth="1"/>
    <col min="2049" max="2049" width="7" customWidth="1"/>
    <col min="2050" max="2050" width="2.625" customWidth="1"/>
    <col min="2051" max="2051" width="10.375" customWidth="1"/>
    <col min="2052" max="2052" width="19.25" customWidth="1"/>
    <col min="2053" max="2053" width="6.75" customWidth="1"/>
    <col min="2054" max="2054" width="11.375" customWidth="1"/>
    <col min="2055" max="2055" width="14.625" customWidth="1"/>
    <col min="2056" max="2056" width="1.625" customWidth="1"/>
    <col min="2057" max="2057" width="10.75" customWidth="1"/>
    <col min="2058" max="2058" width="3.125" customWidth="1"/>
    <col min="2059" max="2059" width="5.25" customWidth="1"/>
    <col min="2060" max="2060" width="9.375" customWidth="1"/>
    <col min="2305" max="2305" width="7" customWidth="1"/>
    <col min="2306" max="2306" width="2.625" customWidth="1"/>
    <col min="2307" max="2307" width="10.375" customWidth="1"/>
    <col min="2308" max="2308" width="19.25" customWidth="1"/>
    <col min="2309" max="2309" width="6.75" customWidth="1"/>
    <col min="2310" max="2310" width="11.375" customWidth="1"/>
    <col min="2311" max="2311" width="14.625" customWidth="1"/>
    <col min="2312" max="2312" width="1.625" customWidth="1"/>
    <col min="2313" max="2313" width="10.75" customWidth="1"/>
    <col min="2314" max="2314" width="3.125" customWidth="1"/>
    <col min="2315" max="2315" width="5.25" customWidth="1"/>
    <col min="2316" max="2316" width="9.375" customWidth="1"/>
    <col min="2561" max="2561" width="7" customWidth="1"/>
    <col min="2562" max="2562" width="2.625" customWidth="1"/>
    <col min="2563" max="2563" width="10.375" customWidth="1"/>
    <col min="2564" max="2564" width="19.25" customWidth="1"/>
    <col min="2565" max="2565" width="6.75" customWidth="1"/>
    <col min="2566" max="2566" width="11.375" customWidth="1"/>
    <col min="2567" max="2567" width="14.625" customWidth="1"/>
    <col min="2568" max="2568" width="1.625" customWidth="1"/>
    <col min="2569" max="2569" width="10.75" customWidth="1"/>
    <col min="2570" max="2570" width="3.125" customWidth="1"/>
    <col min="2571" max="2571" width="5.25" customWidth="1"/>
    <col min="2572" max="2572" width="9.375" customWidth="1"/>
    <col min="2817" max="2817" width="7" customWidth="1"/>
    <col min="2818" max="2818" width="2.625" customWidth="1"/>
    <col min="2819" max="2819" width="10.375" customWidth="1"/>
    <col min="2820" max="2820" width="19.25" customWidth="1"/>
    <col min="2821" max="2821" width="6.75" customWidth="1"/>
    <col min="2822" max="2822" width="11.375" customWidth="1"/>
    <col min="2823" max="2823" width="14.625" customWidth="1"/>
    <col min="2824" max="2824" width="1.625" customWidth="1"/>
    <col min="2825" max="2825" width="10.75" customWidth="1"/>
    <col min="2826" max="2826" width="3.125" customWidth="1"/>
    <col min="2827" max="2827" width="5.25" customWidth="1"/>
    <col min="2828" max="2828" width="9.375" customWidth="1"/>
    <col min="3073" max="3073" width="7" customWidth="1"/>
    <col min="3074" max="3074" width="2.625" customWidth="1"/>
    <col min="3075" max="3075" width="10.375" customWidth="1"/>
    <col min="3076" max="3076" width="19.25" customWidth="1"/>
    <col min="3077" max="3077" width="6.75" customWidth="1"/>
    <col min="3078" max="3078" width="11.375" customWidth="1"/>
    <col min="3079" max="3079" width="14.625" customWidth="1"/>
    <col min="3080" max="3080" width="1.625" customWidth="1"/>
    <col min="3081" max="3081" width="10.75" customWidth="1"/>
    <col min="3082" max="3082" width="3.125" customWidth="1"/>
    <col min="3083" max="3083" width="5.25" customWidth="1"/>
    <col min="3084" max="3084" width="9.375" customWidth="1"/>
    <col min="3329" max="3329" width="7" customWidth="1"/>
    <col min="3330" max="3330" width="2.625" customWidth="1"/>
    <col min="3331" max="3331" width="10.375" customWidth="1"/>
    <col min="3332" max="3332" width="19.25" customWidth="1"/>
    <col min="3333" max="3333" width="6.75" customWidth="1"/>
    <col min="3334" max="3334" width="11.375" customWidth="1"/>
    <col min="3335" max="3335" width="14.625" customWidth="1"/>
    <col min="3336" max="3336" width="1.625" customWidth="1"/>
    <col min="3337" max="3337" width="10.75" customWidth="1"/>
    <col min="3338" max="3338" width="3.125" customWidth="1"/>
    <col min="3339" max="3339" width="5.25" customWidth="1"/>
    <col min="3340" max="3340" width="9.375" customWidth="1"/>
    <col min="3585" max="3585" width="7" customWidth="1"/>
    <col min="3586" max="3586" width="2.625" customWidth="1"/>
    <col min="3587" max="3587" width="10.375" customWidth="1"/>
    <col min="3588" max="3588" width="19.25" customWidth="1"/>
    <col min="3589" max="3589" width="6.75" customWidth="1"/>
    <col min="3590" max="3590" width="11.375" customWidth="1"/>
    <col min="3591" max="3591" width="14.625" customWidth="1"/>
    <col min="3592" max="3592" width="1.625" customWidth="1"/>
    <col min="3593" max="3593" width="10.75" customWidth="1"/>
    <col min="3594" max="3594" width="3.125" customWidth="1"/>
    <col min="3595" max="3595" width="5.25" customWidth="1"/>
    <col min="3596" max="3596" width="9.375" customWidth="1"/>
    <col min="3841" max="3841" width="7" customWidth="1"/>
    <col min="3842" max="3842" width="2.625" customWidth="1"/>
    <col min="3843" max="3843" width="10.375" customWidth="1"/>
    <col min="3844" max="3844" width="19.25" customWidth="1"/>
    <col min="3845" max="3845" width="6.75" customWidth="1"/>
    <col min="3846" max="3846" width="11.375" customWidth="1"/>
    <col min="3847" max="3847" width="14.625" customWidth="1"/>
    <col min="3848" max="3848" width="1.625" customWidth="1"/>
    <col min="3849" max="3849" width="10.75" customWidth="1"/>
    <col min="3850" max="3850" width="3.125" customWidth="1"/>
    <col min="3851" max="3851" width="5.25" customWidth="1"/>
    <col min="3852" max="3852" width="9.375" customWidth="1"/>
    <col min="4097" max="4097" width="7" customWidth="1"/>
    <col min="4098" max="4098" width="2.625" customWidth="1"/>
    <col min="4099" max="4099" width="10.375" customWidth="1"/>
    <col min="4100" max="4100" width="19.25" customWidth="1"/>
    <col min="4101" max="4101" width="6.75" customWidth="1"/>
    <col min="4102" max="4102" width="11.375" customWidth="1"/>
    <col min="4103" max="4103" width="14.625" customWidth="1"/>
    <col min="4104" max="4104" width="1.625" customWidth="1"/>
    <col min="4105" max="4105" width="10.75" customWidth="1"/>
    <col min="4106" max="4106" width="3.125" customWidth="1"/>
    <col min="4107" max="4107" width="5.25" customWidth="1"/>
    <col min="4108" max="4108" width="9.375" customWidth="1"/>
    <col min="4353" max="4353" width="7" customWidth="1"/>
    <col min="4354" max="4354" width="2.625" customWidth="1"/>
    <col min="4355" max="4355" width="10.375" customWidth="1"/>
    <col min="4356" max="4356" width="19.25" customWidth="1"/>
    <col min="4357" max="4357" width="6.75" customWidth="1"/>
    <col min="4358" max="4358" width="11.375" customWidth="1"/>
    <col min="4359" max="4359" width="14.625" customWidth="1"/>
    <col min="4360" max="4360" width="1.625" customWidth="1"/>
    <col min="4361" max="4361" width="10.75" customWidth="1"/>
    <col min="4362" max="4362" width="3.125" customWidth="1"/>
    <col min="4363" max="4363" width="5.25" customWidth="1"/>
    <col min="4364" max="4364" width="9.375" customWidth="1"/>
    <col min="4609" max="4609" width="7" customWidth="1"/>
    <col min="4610" max="4610" width="2.625" customWidth="1"/>
    <col min="4611" max="4611" width="10.375" customWidth="1"/>
    <col min="4612" max="4612" width="19.25" customWidth="1"/>
    <col min="4613" max="4613" width="6.75" customWidth="1"/>
    <col min="4614" max="4614" width="11.375" customWidth="1"/>
    <col min="4615" max="4615" width="14.625" customWidth="1"/>
    <col min="4616" max="4616" width="1.625" customWidth="1"/>
    <col min="4617" max="4617" width="10.75" customWidth="1"/>
    <col min="4618" max="4618" width="3.125" customWidth="1"/>
    <col min="4619" max="4619" width="5.25" customWidth="1"/>
    <col min="4620" max="4620" width="9.375" customWidth="1"/>
    <col min="4865" max="4865" width="7" customWidth="1"/>
    <col min="4866" max="4866" width="2.625" customWidth="1"/>
    <col min="4867" max="4867" width="10.375" customWidth="1"/>
    <col min="4868" max="4868" width="19.25" customWidth="1"/>
    <col min="4869" max="4869" width="6.75" customWidth="1"/>
    <col min="4870" max="4870" width="11.375" customWidth="1"/>
    <col min="4871" max="4871" width="14.625" customWidth="1"/>
    <col min="4872" max="4872" width="1.625" customWidth="1"/>
    <col min="4873" max="4873" width="10.75" customWidth="1"/>
    <col min="4874" max="4874" width="3.125" customWidth="1"/>
    <col min="4875" max="4875" width="5.25" customWidth="1"/>
    <col min="4876" max="4876" width="9.375" customWidth="1"/>
    <col min="5121" max="5121" width="7" customWidth="1"/>
    <col min="5122" max="5122" width="2.625" customWidth="1"/>
    <col min="5123" max="5123" width="10.375" customWidth="1"/>
    <col min="5124" max="5124" width="19.25" customWidth="1"/>
    <col min="5125" max="5125" width="6.75" customWidth="1"/>
    <col min="5126" max="5126" width="11.375" customWidth="1"/>
    <col min="5127" max="5127" width="14.625" customWidth="1"/>
    <col min="5128" max="5128" width="1.625" customWidth="1"/>
    <col min="5129" max="5129" width="10.75" customWidth="1"/>
    <col min="5130" max="5130" width="3.125" customWidth="1"/>
    <col min="5131" max="5131" width="5.25" customWidth="1"/>
    <col min="5132" max="5132" width="9.375" customWidth="1"/>
    <col min="5377" max="5377" width="7" customWidth="1"/>
    <col min="5378" max="5378" width="2.625" customWidth="1"/>
    <col min="5379" max="5379" width="10.375" customWidth="1"/>
    <col min="5380" max="5380" width="19.25" customWidth="1"/>
    <col min="5381" max="5381" width="6.75" customWidth="1"/>
    <col min="5382" max="5382" width="11.375" customWidth="1"/>
    <col min="5383" max="5383" width="14.625" customWidth="1"/>
    <col min="5384" max="5384" width="1.625" customWidth="1"/>
    <col min="5385" max="5385" width="10.75" customWidth="1"/>
    <col min="5386" max="5386" width="3.125" customWidth="1"/>
    <col min="5387" max="5387" width="5.25" customWidth="1"/>
    <col min="5388" max="5388" width="9.375" customWidth="1"/>
    <col min="5633" max="5633" width="7" customWidth="1"/>
    <col min="5634" max="5634" width="2.625" customWidth="1"/>
    <col min="5635" max="5635" width="10.375" customWidth="1"/>
    <col min="5636" max="5636" width="19.25" customWidth="1"/>
    <col min="5637" max="5637" width="6.75" customWidth="1"/>
    <col min="5638" max="5638" width="11.375" customWidth="1"/>
    <col min="5639" max="5639" width="14.625" customWidth="1"/>
    <col min="5640" max="5640" width="1.625" customWidth="1"/>
    <col min="5641" max="5641" width="10.75" customWidth="1"/>
    <col min="5642" max="5642" width="3.125" customWidth="1"/>
    <col min="5643" max="5643" width="5.25" customWidth="1"/>
    <col min="5644" max="5644" width="9.375" customWidth="1"/>
    <col min="5889" max="5889" width="7" customWidth="1"/>
    <col min="5890" max="5890" width="2.625" customWidth="1"/>
    <col min="5891" max="5891" width="10.375" customWidth="1"/>
    <col min="5892" max="5892" width="19.25" customWidth="1"/>
    <col min="5893" max="5893" width="6.75" customWidth="1"/>
    <col min="5894" max="5894" width="11.375" customWidth="1"/>
    <col min="5895" max="5895" width="14.625" customWidth="1"/>
    <col min="5896" max="5896" width="1.625" customWidth="1"/>
    <col min="5897" max="5897" width="10.75" customWidth="1"/>
    <col min="5898" max="5898" width="3.125" customWidth="1"/>
    <col min="5899" max="5899" width="5.25" customWidth="1"/>
    <col min="5900" max="5900" width="9.375" customWidth="1"/>
    <col min="6145" max="6145" width="7" customWidth="1"/>
    <col min="6146" max="6146" width="2.625" customWidth="1"/>
    <col min="6147" max="6147" width="10.375" customWidth="1"/>
    <col min="6148" max="6148" width="19.25" customWidth="1"/>
    <col min="6149" max="6149" width="6.75" customWidth="1"/>
    <col min="6150" max="6150" width="11.375" customWidth="1"/>
    <col min="6151" max="6151" width="14.625" customWidth="1"/>
    <col min="6152" max="6152" width="1.625" customWidth="1"/>
    <col min="6153" max="6153" width="10.75" customWidth="1"/>
    <col min="6154" max="6154" width="3.125" customWidth="1"/>
    <col min="6155" max="6155" width="5.25" customWidth="1"/>
    <col min="6156" max="6156" width="9.375" customWidth="1"/>
    <col min="6401" max="6401" width="7" customWidth="1"/>
    <col min="6402" max="6402" width="2.625" customWidth="1"/>
    <col min="6403" max="6403" width="10.375" customWidth="1"/>
    <col min="6404" max="6404" width="19.25" customWidth="1"/>
    <col min="6405" max="6405" width="6.75" customWidth="1"/>
    <col min="6406" max="6406" width="11.375" customWidth="1"/>
    <col min="6407" max="6407" width="14.625" customWidth="1"/>
    <col min="6408" max="6408" width="1.625" customWidth="1"/>
    <col min="6409" max="6409" width="10.75" customWidth="1"/>
    <col min="6410" max="6410" width="3.125" customWidth="1"/>
    <col min="6411" max="6411" width="5.25" customWidth="1"/>
    <col min="6412" max="6412" width="9.375" customWidth="1"/>
    <col min="6657" max="6657" width="7" customWidth="1"/>
    <col min="6658" max="6658" width="2.625" customWidth="1"/>
    <col min="6659" max="6659" width="10.375" customWidth="1"/>
    <col min="6660" max="6660" width="19.25" customWidth="1"/>
    <col min="6661" max="6661" width="6.75" customWidth="1"/>
    <col min="6662" max="6662" width="11.375" customWidth="1"/>
    <col min="6663" max="6663" width="14.625" customWidth="1"/>
    <col min="6664" max="6664" width="1.625" customWidth="1"/>
    <col min="6665" max="6665" width="10.75" customWidth="1"/>
    <col min="6666" max="6666" width="3.125" customWidth="1"/>
    <col min="6667" max="6667" width="5.25" customWidth="1"/>
    <col min="6668" max="6668" width="9.375" customWidth="1"/>
    <col min="6913" max="6913" width="7" customWidth="1"/>
    <col min="6914" max="6914" width="2.625" customWidth="1"/>
    <col min="6915" max="6915" width="10.375" customWidth="1"/>
    <col min="6916" max="6916" width="19.25" customWidth="1"/>
    <col min="6917" max="6917" width="6.75" customWidth="1"/>
    <col min="6918" max="6918" width="11.375" customWidth="1"/>
    <col min="6919" max="6919" width="14.625" customWidth="1"/>
    <col min="6920" max="6920" width="1.625" customWidth="1"/>
    <col min="6921" max="6921" width="10.75" customWidth="1"/>
    <col min="6922" max="6922" width="3.125" customWidth="1"/>
    <col min="6923" max="6923" width="5.25" customWidth="1"/>
    <col min="6924" max="6924" width="9.375" customWidth="1"/>
    <col min="7169" max="7169" width="7" customWidth="1"/>
    <col min="7170" max="7170" width="2.625" customWidth="1"/>
    <col min="7171" max="7171" width="10.375" customWidth="1"/>
    <col min="7172" max="7172" width="19.25" customWidth="1"/>
    <col min="7173" max="7173" width="6.75" customWidth="1"/>
    <col min="7174" max="7174" width="11.375" customWidth="1"/>
    <col min="7175" max="7175" width="14.625" customWidth="1"/>
    <col min="7176" max="7176" width="1.625" customWidth="1"/>
    <col min="7177" max="7177" width="10.75" customWidth="1"/>
    <col min="7178" max="7178" width="3.125" customWidth="1"/>
    <col min="7179" max="7179" width="5.25" customWidth="1"/>
    <col min="7180" max="7180" width="9.375" customWidth="1"/>
    <col min="7425" max="7425" width="7" customWidth="1"/>
    <col min="7426" max="7426" width="2.625" customWidth="1"/>
    <col min="7427" max="7427" width="10.375" customWidth="1"/>
    <col min="7428" max="7428" width="19.25" customWidth="1"/>
    <col min="7429" max="7429" width="6.75" customWidth="1"/>
    <col min="7430" max="7430" width="11.375" customWidth="1"/>
    <col min="7431" max="7431" width="14.625" customWidth="1"/>
    <col min="7432" max="7432" width="1.625" customWidth="1"/>
    <col min="7433" max="7433" width="10.75" customWidth="1"/>
    <col min="7434" max="7434" width="3.125" customWidth="1"/>
    <col min="7435" max="7435" width="5.25" customWidth="1"/>
    <col min="7436" max="7436" width="9.375" customWidth="1"/>
    <col min="7681" max="7681" width="7" customWidth="1"/>
    <col min="7682" max="7682" width="2.625" customWidth="1"/>
    <col min="7683" max="7683" width="10.375" customWidth="1"/>
    <col min="7684" max="7684" width="19.25" customWidth="1"/>
    <col min="7685" max="7685" width="6.75" customWidth="1"/>
    <col min="7686" max="7686" width="11.375" customWidth="1"/>
    <col min="7687" max="7687" width="14.625" customWidth="1"/>
    <col min="7688" max="7688" width="1.625" customWidth="1"/>
    <col min="7689" max="7689" width="10.75" customWidth="1"/>
    <col min="7690" max="7690" width="3.125" customWidth="1"/>
    <col min="7691" max="7691" width="5.25" customWidth="1"/>
    <col min="7692" max="7692" width="9.375" customWidth="1"/>
    <col min="7937" max="7937" width="7" customWidth="1"/>
    <col min="7938" max="7938" width="2.625" customWidth="1"/>
    <col min="7939" max="7939" width="10.375" customWidth="1"/>
    <col min="7940" max="7940" width="19.25" customWidth="1"/>
    <col min="7941" max="7941" width="6.75" customWidth="1"/>
    <col min="7942" max="7942" width="11.375" customWidth="1"/>
    <col min="7943" max="7943" width="14.625" customWidth="1"/>
    <col min="7944" max="7944" width="1.625" customWidth="1"/>
    <col min="7945" max="7945" width="10.75" customWidth="1"/>
    <col min="7946" max="7946" width="3.125" customWidth="1"/>
    <col min="7947" max="7947" width="5.25" customWidth="1"/>
    <col min="7948" max="7948" width="9.375" customWidth="1"/>
    <col min="8193" max="8193" width="7" customWidth="1"/>
    <col min="8194" max="8194" width="2.625" customWidth="1"/>
    <col min="8195" max="8195" width="10.375" customWidth="1"/>
    <col min="8196" max="8196" width="19.25" customWidth="1"/>
    <col min="8197" max="8197" width="6.75" customWidth="1"/>
    <col min="8198" max="8198" width="11.375" customWidth="1"/>
    <col min="8199" max="8199" width="14.625" customWidth="1"/>
    <col min="8200" max="8200" width="1.625" customWidth="1"/>
    <col min="8201" max="8201" width="10.75" customWidth="1"/>
    <col min="8202" max="8202" width="3.125" customWidth="1"/>
    <col min="8203" max="8203" width="5.25" customWidth="1"/>
    <col min="8204" max="8204" width="9.375" customWidth="1"/>
    <col min="8449" max="8449" width="7" customWidth="1"/>
    <col min="8450" max="8450" width="2.625" customWidth="1"/>
    <col min="8451" max="8451" width="10.375" customWidth="1"/>
    <col min="8452" max="8452" width="19.25" customWidth="1"/>
    <col min="8453" max="8453" width="6.75" customWidth="1"/>
    <col min="8454" max="8454" width="11.375" customWidth="1"/>
    <col min="8455" max="8455" width="14.625" customWidth="1"/>
    <col min="8456" max="8456" width="1.625" customWidth="1"/>
    <col min="8457" max="8457" width="10.75" customWidth="1"/>
    <col min="8458" max="8458" width="3.125" customWidth="1"/>
    <col min="8459" max="8459" width="5.25" customWidth="1"/>
    <col min="8460" max="8460" width="9.375" customWidth="1"/>
    <col min="8705" max="8705" width="7" customWidth="1"/>
    <col min="8706" max="8706" width="2.625" customWidth="1"/>
    <col min="8707" max="8707" width="10.375" customWidth="1"/>
    <col min="8708" max="8708" width="19.25" customWidth="1"/>
    <col min="8709" max="8709" width="6.75" customWidth="1"/>
    <col min="8710" max="8710" width="11.375" customWidth="1"/>
    <col min="8711" max="8711" width="14.625" customWidth="1"/>
    <col min="8712" max="8712" width="1.625" customWidth="1"/>
    <col min="8713" max="8713" width="10.75" customWidth="1"/>
    <col min="8714" max="8714" width="3.125" customWidth="1"/>
    <col min="8715" max="8715" width="5.25" customWidth="1"/>
    <col min="8716" max="8716" width="9.375" customWidth="1"/>
    <col min="8961" max="8961" width="7" customWidth="1"/>
    <col min="8962" max="8962" width="2.625" customWidth="1"/>
    <col min="8963" max="8963" width="10.375" customWidth="1"/>
    <col min="8964" max="8964" width="19.25" customWidth="1"/>
    <col min="8965" max="8965" width="6.75" customWidth="1"/>
    <col min="8966" max="8966" width="11.375" customWidth="1"/>
    <col min="8967" max="8967" width="14.625" customWidth="1"/>
    <col min="8968" max="8968" width="1.625" customWidth="1"/>
    <col min="8969" max="8969" width="10.75" customWidth="1"/>
    <col min="8970" max="8970" width="3.125" customWidth="1"/>
    <col min="8971" max="8971" width="5.25" customWidth="1"/>
    <col min="8972" max="8972" width="9.375" customWidth="1"/>
    <col min="9217" max="9217" width="7" customWidth="1"/>
    <col min="9218" max="9218" width="2.625" customWidth="1"/>
    <col min="9219" max="9219" width="10.375" customWidth="1"/>
    <col min="9220" max="9220" width="19.25" customWidth="1"/>
    <col min="9221" max="9221" width="6.75" customWidth="1"/>
    <col min="9222" max="9222" width="11.375" customWidth="1"/>
    <col min="9223" max="9223" width="14.625" customWidth="1"/>
    <col min="9224" max="9224" width="1.625" customWidth="1"/>
    <col min="9225" max="9225" width="10.75" customWidth="1"/>
    <col min="9226" max="9226" width="3.125" customWidth="1"/>
    <col min="9227" max="9227" width="5.25" customWidth="1"/>
    <col min="9228" max="9228" width="9.375" customWidth="1"/>
    <col min="9473" max="9473" width="7" customWidth="1"/>
    <col min="9474" max="9474" width="2.625" customWidth="1"/>
    <col min="9475" max="9475" width="10.375" customWidth="1"/>
    <col min="9476" max="9476" width="19.25" customWidth="1"/>
    <col min="9477" max="9477" width="6.75" customWidth="1"/>
    <col min="9478" max="9478" width="11.375" customWidth="1"/>
    <col min="9479" max="9479" width="14.625" customWidth="1"/>
    <col min="9480" max="9480" width="1.625" customWidth="1"/>
    <col min="9481" max="9481" width="10.75" customWidth="1"/>
    <col min="9482" max="9482" width="3.125" customWidth="1"/>
    <col min="9483" max="9483" width="5.25" customWidth="1"/>
    <col min="9484" max="9484" width="9.375" customWidth="1"/>
    <col min="9729" max="9729" width="7" customWidth="1"/>
    <col min="9730" max="9730" width="2.625" customWidth="1"/>
    <col min="9731" max="9731" width="10.375" customWidth="1"/>
    <col min="9732" max="9732" width="19.25" customWidth="1"/>
    <col min="9733" max="9733" width="6.75" customWidth="1"/>
    <col min="9734" max="9734" width="11.375" customWidth="1"/>
    <col min="9735" max="9735" width="14.625" customWidth="1"/>
    <col min="9736" max="9736" width="1.625" customWidth="1"/>
    <col min="9737" max="9737" width="10.75" customWidth="1"/>
    <col min="9738" max="9738" width="3.125" customWidth="1"/>
    <col min="9739" max="9739" width="5.25" customWidth="1"/>
    <col min="9740" max="9740" width="9.375" customWidth="1"/>
    <col min="9985" max="9985" width="7" customWidth="1"/>
    <col min="9986" max="9986" width="2.625" customWidth="1"/>
    <col min="9987" max="9987" width="10.375" customWidth="1"/>
    <col min="9988" max="9988" width="19.25" customWidth="1"/>
    <col min="9989" max="9989" width="6.75" customWidth="1"/>
    <col min="9990" max="9990" width="11.375" customWidth="1"/>
    <col min="9991" max="9991" width="14.625" customWidth="1"/>
    <col min="9992" max="9992" width="1.625" customWidth="1"/>
    <col min="9993" max="9993" width="10.75" customWidth="1"/>
    <col min="9994" max="9994" width="3.125" customWidth="1"/>
    <col min="9995" max="9995" width="5.25" customWidth="1"/>
    <col min="9996" max="9996" width="9.375" customWidth="1"/>
    <col min="10241" max="10241" width="7" customWidth="1"/>
    <col min="10242" max="10242" width="2.625" customWidth="1"/>
    <col min="10243" max="10243" width="10.375" customWidth="1"/>
    <col min="10244" max="10244" width="19.25" customWidth="1"/>
    <col min="10245" max="10245" width="6.75" customWidth="1"/>
    <col min="10246" max="10246" width="11.375" customWidth="1"/>
    <col min="10247" max="10247" width="14.625" customWidth="1"/>
    <col min="10248" max="10248" width="1.625" customWidth="1"/>
    <col min="10249" max="10249" width="10.75" customWidth="1"/>
    <col min="10250" max="10250" width="3.125" customWidth="1"/>
    <col min="10251" max="10251" width="5.25" customWidth="1"/>
    <col min="10252" max="10252" width="9.375" customWidth="1"/>
    <col min="10497" max="10497" width="7" customWidth="1"/>
    <col min="10498" max="10498" width="2.625" customWidth="1"/>
    <col min="10499" max="10499" width="10.375" customWidth="1"/>
    <col min="10500" max="10500" width="19.25" customWidth="1"/>
    <col min="10501" max="10501" width="6.75" customWidth="1"/>
    <col min="10502" max="10502" width="11.375" customWidth="1"/>
    <col min="10503" max="10503" width="14.625" customWidth="1"/>
    <col min="10504" max="10504" width="1.625" customWidth="1"/>
    <col min="10505" max="10505" width="10.75" customWidth="1"/>
    <col min="10506" max="10506" width="3.125" customWidth="1"/>
    <col min="10507" max="10507" width="5.25" customWidth="1"/>
    <col min="10508" max="10508" width="9.375" customWidth="1"/>
    <col min="10753" max="10753" width="7" customWidth="1"/>
    <col min="10754" max="10754" width="2.625" customWidth="1"/>
    <col min="10755" max="10755" width="10.375" customWidth="1"/>
    <col min="10756" max="10756" width="19.25" customWidth="1"/>
    <col min="10757" max="10757" width="6.75" customWidth="1"/>
    <col min="10758" max="10758" width="11.375" customWidth="1"/>
    <col min="10759" max="10759" width="14.625" customWidth="1"/>
    <col min="10760" max="10760" width="1.625" customWidth="1"/>
    <col min="10761" max="10761" width="10.75" customWidth="1"/>
    <col min="10762" max="10762" width="3.125" customWidth="1"/>
    <col min="10763" max="10763" width="5.25" customWidth="1"/>
    <col min="10764" max="10764" width="9.375" customWidth="1"/>
    <col min="11009" max="11009" width="7" customWidth="1"/>
    <col min="11010" max="11010" width="2.625" customWidth="1"/>
    <col min="11011" max="11011" width="10.375" customWidth="1"/>
    <col min="11012" max="11012" width="19.25" customWidth="1"/>
    <col min="11013" max="11013" width="6.75" customWidth="1"/>
    <col min="11014" max="11014" width="11.375" customWidth="1"/>
    <col min="11015" max="11015" width="14.625" customWidth="1"/>
    <col min="11016" max="11016" width="1.625" customWidth="1"/>
    <col min="11017" max="11017" width="10.75" customWidth="1"/>
    <col min="11018" max="11018" width="3.125" customWidth="1"/>
    <col min="11019" max="11019" width="5.25" customWidth="1"/>
    <col min="11020" max="11020" width="9.375" customWidth="1"/>
    <col min="11265" max="11265" width="7" customWidth="1"/>
    <col min="11266" max="11266" width="2.625" customWidth="1"/>
    <col min="11267" max="11267" width="10.375" customWidth="1"/>
    <col min="11268" max="11268" width="19.25" customWidth="1"/>
    <col min="11269" max="11269" width="6.75" customWidth="1"/>
    <col min="11270" max="11270" width="11.375" customWidth="1"/>
    <col min="11271" max="11271" width="14.625" customWidth="1"/>
    <col min="11272" max="11272" width="1.625" customWidth="1"/>
    <col min="11273" max="11273" width="10.75" customWidth="1"/>
    <col min="11274" max="11274" width="3.125" customWidth="1"/>
    <col min="11275" max="11275" width="5.25" customWidth="1"/>
    <col min="11276" max="11276" width="9.375" customWidth="1"/>
    <col min="11521" max="11521" width="7" customWidth="1"/>
    <col min="11522" max="11522" width="2.625" customWidth="1"/>
    <col min="11523" max="11523" width="10.375" customWidth="1"/>
    <col min="11524" max="11524" width="19.25" customWidth="1"/>
    <col min="11525" max="11525" width="6.75" customWidth="1"/>
    <col min="11526" max="11526" width="11.375" customWidth="1"/>
    <col min="11527" max="11527" width="14.625" customWidth="1"/>
    <col min="11528" max="11528" width="1.625" customWidth="1"/>
    <col min="11529" max="11529" width="10.75" customWidth="1"/>
    <col min="11530" max="11530" width="3.125" customWidth="1"/>
    <col min="11531" max="11531" width="5.25" customWidth="1"/>
    <col min="11532" max="11532" width="9.375" customWidth="1"/>
    <col min="11777" max="11777" width="7" customWidth="1"/>
    <col min="11778" max="11778" width="2.625" customWidth="1"/>
    <col min="11779" max="11779" width="10.375" customWidth="1"/>
    <col min="11780" max="11780" width="19.25" customWidth="1"/>
    <col min="11781" max="11781" width="6.75" customWidth="1"/>
    <col min="11782" max="11782" width="11.375" customWidth="1"/>
    <col min="11783" max="11783" width="14.625" customWidth="1"/>
    <col min="11784" max="11784" width="1.625" customWidth="1"/>
    <col min="11785" max="11785" width="10.75" customWidth="1"/>
    <col min="11786" max="11786" width="3.125" customWidth="1"/>
    <col min="11787" max="11787" width="5.25" customWidth="1"/>
    <col min="11788" max="11788" width="9.375" customWidth="1"/>
    <col min="12033" max="12033" width="7" customWidth="1"/>
    <col min="12034" max="12034" width="2.625" customWidth="1"/>
    <col min="12035" max="12035" width="10.375" customWidth="1"/>
    <col min="12036" max="12036" width="19.25" customWidth="1"/>
    <col min="12037" max="12037" width="6.75" customWidth="1"/>
    <col min="12038" max="12038" width="11.375" customWidth="1"/>
    <col min="12039" max="12039" width="14.625" customWidth="1"/>
    <col min="12040" max="12040" width="1.625" customWidth="1"/>
    <col min="12041" max="12041" width="10.75" customWidth="1"/>
    <col min="12042" max="12042" width="3.125" customWidth="1"/>
    <col min="12043" max="12043" width="5.25" customWidth="1"/>
    <col min="12044" max="12044" width="9.375" customWidth="1"/>
    <col min="12289" max="12289" width="7" customWidth="1"/>
    <col min="12290" max="12290" width="2.625" customWidth="1"/>
    <col min="12291" max="12291" width="10.375" customWidth="1"/>
    <col min="12292" max="12292" width="19.25" customWidth="1"/>
    <col min="12293" max="12293" width="6.75" customWidth="1"/>
    <col min="12294" max="12294" width="11.375" customWidth="1"/>
    <col min="12295" max="12295" width="14.625" customWidth="1"/>
    <col min="12296" max="12296" width="1.625" customWidth="1"/>
    <col min="12297" max="12297" width="10.75" customWidth="1"/>
    <col min="12298" max="12298" width="3.125" customWidth="1"/>
    <col min="12299" max="12299" width="5.25" customWidth="1"/>
    <col min="12300" max="12300" width="9.375" customWidth="1"/>
    <col min="12545" max="12545" width="7" customWidth="1"/>
    <col min="12546" max="12546" width="2.625" customWidth="1"/>
    <col min="12547" max="12547" width="10.375" customWidth="1"/>
    <col min="12548" max="12548" width="19.25" customWidth="1"/>
    <col min="12549" max="12549" width="6.75" customWidth="1"/>
    <col min="12550" max="12550" width="11.375" customWidth="1"/>
    <col min="12551" max="12551" width="14.625" customWidth="1"/>
    <col min="12552" max="12552" width="1.625" customWidth="1"/>
    <col min="12553" max="12553" width="10.75" customWidth="1"/>
    <col min="12554" max="12554" width="3.125" customWidth="1"/>
    <col min="12555" max="12555" width="5.25" customWidth="1"/>
    <col min="12556" max="12556" width="9.375" customWidth="1"/>
    <col min="12801" max="12801" width="7" customWidth="1"/>
    <col min="12802" max="12802" width="2.625" customWidth="1"/>
    <col min="12803" max="12803" width="10.375" customWidth="1"/>
    <col min="12804" max="12804" width="19.25" customWidth="1"/>
    <col min="12805" max="12805" width="6.75" customWidth="1"/>
    <col min="12806" max="12806" width="11.375" customWidth="1"/>
    <col min="12807" max="12807" width="14.625" customWidth="1"/>
    <col min="12808" max="12808" width="1.625" customWidth="1"/>
    <col min="12809" max="12809" width="10.75" customWidth="1"/>
    <col min="12810" max="12810" width="3.125" customWidth="1"/>
    <col min="12811" max="12811" width="5.25" customWidth="1"/>
    <col min="12812" max="12812" width="9.375" customWidth="1"/>
    <col min="13057" max="13057" width="7" customWidth="1"/>
    <col min="13058" max="13058" width="2.625" customWidth="1"/>
    <col min="13059" max="13059" width="10.375" customWidth="1"/>
    <col min="13060" max="13060" width="19.25" customWidth="1"/>
    <col min="13061" max="13061" width="6.75" customWidth="1"/>
    <col min="13062" max="13062" width="11.375" customWidth="1"/>
    <col min="13063" max="13063" width="14.625" customWidth="1"/>
    <col min="13064" max="13064" width="1.625" customWidth="1"/>
    <col min="13065" max="13065" width="10.75" customWidth="1"/>
    <col min="13066" max="13066" width="3.125" customWidth="1"/>
    <col min="13067" max="13067" width="5.25" customWidth="1"/>
    <col min="13068" max="13068" width="9.375" customWidth="1"/>
    <col min="13313" max="13313" width="7" customWidth="1"/>
    <col min="13314" max="13314" width="2.625" customWidth="1"/>
    <col min="13315" max="13315" width="10.375" customWidth="1"/>
    <col min="13316" max="13316" width="19.25" customWidth="1"/>
    <col min="13317" max="13317" width="6.75" customWidth="1"/>
    <col min="13318" max="13318" width="11.375" customWidth="1"/>
    <col min="13319" max="13319" width="14.625" customWidth="1"/>
    <col min="13320" max="13320" width="1.625" customWidth="1"/>
    <col min="13321" max="13321" width="10.75" customWidth="1"/>
    <col min="13322" max="13322" width="3.125" customWidth="1"/>
    <col min="13323" max="13323" width="5.25" customWidth="1"/>
    <col min="13324" max="13324" width="9.375" customWidth="1"/>
    <col min="13569" max="13569" width="7" customWidth="1"/>
    <col min="13570" max="13570" width="2.625" customWidth="1"/>
    <col min="13571" max="13571" width="10.375" customWidth="1"/>
    <col min="13572" max="13572" width="19.25" customWidth="1"/>
    <col min="13573" max="13573" width="6.75" customWidth="1"/>
    <col min="13574" max="13574" width="11.375" customWidth="1"/>
    <col min="13575" max="13575" width="14.625" customWidth="1"/>
    <col min="13576" max="13576" width="1.625" customWidth="1"/>
    <col min="13577" max="13577" width="10.75" customWidth="1"/>
    <col min="13578" max="13578" width="3.125" customWidth="1"/>
    <col min="13579" max="13579" width="5.25" customWidth="1"/>
    <col min="13580" max="13580" width="9.375" customWidth="1"/>
    <col min="13825" max="13825" width="7" customWidth="1"/>
    <col min="13826" max="13826" width="2.625" customWidth="1"/>
    <col min="13827" max="13827" width="10.375" customWidth="1"/>
    <col min="13828" max="13828" width="19.25" customWidth="1"/>
    <col min="13829" max="13829" width="6.75" customWidth="1"/>
    <col min="13830" max="13830" width="11.375" customWidth="1"/>
    <col min="13831" max="13831" width="14.625" customWidth="1"/>
    <col min="13832" max="13832" width="1.625" customWidth="1"/>
    <col min="13833" max="13833" width="10.75" customWidth="1"/>
    <col min="13834" max="13834" width="3.125" customWidth="1"/>
    <col min="13835" max="13835" width="5.25" customWidth="1"/>
    <col min="13836" max="13836" width="9.375" customWidth="1"/>
    <col min="14081" max="14081" width="7" customWidth="1"/>
    <col min="14082" max="14082" width="2.625" customWidth="1"/>
    <col min="14083" max="14083" width="10.375" customWidth="1"/>
    <col min="14084" max="14084" width="19.25" customWidth="1"/>
    <col min="14085" max="14085" width="6.75" customWidth="1"/>
    <col min="14086" max="14086" width="11.375" customWidth="1"/>
    <col min="14087" max="14087" width="14.625" customWidth="1"/>
    <col min="14088" max="14088" width="1.625" customWidth="1"/>
    <col min="14089" max="14089" width="10.75" customWidth="1"/>
    <col min="14090" max="14090" width="3.125" customWidth="1"/>
    <col min="14091" max="14091" width="5.25" customWidth="1"/>
    <col min="14092" max="14092" width="9.375" customWidth="1"/>
    <col min="14337" max="14337" width="7" customWidth="1"/>
    <col min="14338" max="14338" width="2.625" customWidth="1"/>
    <col min="14339" max="14339" width="10.375" customWidth="1"/>
    <col min="14340" max="14340" width="19.25" customWidth="1"/>
    <col min="14341" max="14341" width="6.75" customWidth="1"/>
    <col min="14342" max="14342" width="11.375" customWidth="1"/>
    <col min="14343" max="14343" width="14.625" customWidth="1"/>
    <col min="14344" max="14344" width="1.625" customWidth="1"/>
    <col min="14345" max="14345" width="10.75" customWidth="1"/>
    <col min="14346" max="14346" width="3.125" customWidth="1"/>
    <col min="14347" max="14347" width="5.25" customWidth="1"/>
    <col min="14348" max="14348" width="9.375" customWidth="1"/>
    <col min="14593" max="14593" width="7" customWidth="1"/>
    <col min="14594" max="14594" width="2.625" customWidth="1"/>
    <col min="14595" max="14595" width="10.375" customWidth="1"/>
    <col min="14596" max="14596" width="19.25" customWidth="1"/>
    <col min="14597" max="14597" width="6.75" customWidth="1"/>
    <col min="14598" max="14598" width="11.375" customWidth="1"/>
    <col min="14599" max="14599" width="14.625" customWidth="1"/>
    <col min="14600" max="14600" width="1.625" customWidth="1"/>
    <col min="14601" max="14601" width="10.75" customWidth="1"/>
    <col min="14602" max="14602" width="3.125" customWidth="1"/>
    <col min="14603" max="14603" width="5.25" customWidth="1"/>
    <col min="14604" max="14604" width="9.375" customWidth="1"/>
    <col min="14849" max="14849" width="7" customWidth="1"/>
    <col min="14850" max="14850" width="2.625" customWidth="1"/>
    <col min="14851" max="14851" width="10.375" customWidth="1"/>
    <col min="14852" max="14852" width="19.25" customWidth="1"/>
    <col min="14853" max="14853" width="6.75" customWidth="1"/>
    <col min="14854" max="14854" width="11.375" customWidth="1"/>
    <col min="14855" max="14855" width="14.625" customWidth="1"/>
    <col min="14856" max="14856" width="1.625" customWidth="1"/>
    <col min="14857" max="14857" width="10.75" customWidth="1"/>
    <col min="14858" max="14858" width="3.125" customWidth="1"/>
    <col min="14859" max="14859" width="5.25" customWidth="1"/>
    <col min="14860" max="14860" width="9.375" customWidth="1"/>
    <col min="15105" max="15105" width="7" customWidth="1"/>
    <col min="15106" max="15106" width="2.625" customWidth="1"/>
    <col min="15107" max="15107" width="10.375" customWidth="1"/>
    <col min="15108" max="15108" width="19.25" customWidth="1"/>
    <col min="15109" max="15109" width="6.75" customWidth="1"/>
    <col min="15110" max="15110" width="11.375" customWidth="1"/>
    <col min="15111" max="15111" width="14.625" customWidth="1"/>
    <col min="15112" max="15112" width="1.625" customWidth="1"/>
    <col min="15113" max="15113" width="10.75" customWidth="1"/>
    <col min="15114" max="15114" width="3.125" customWidth="1"/>
    <col min="15115" max="15115" width="5.25" customWidth="1"/>
    <col min="15116" max="15116" width="9.375" customWidth="1"/>
    <col min="15361" max="15361" width="7" customWidth="1"/>
    <col min="15362" max="15362" width="2.625" customWidth="1"/>
    <col min="15363" max="15363" width="10.375" customWidth="1"/>
    <col min="15364" max="15364" width="19.25" customWidth="1"/>
    <col min="15365" max="15365" width="6.75" customWidth="1"/>
    <col min="15366" max="15366" width="11.375" customWidth="1"/>
    <col min="15367" max="15367" width="14.625" customWidth="1"/>
    <col min="15368" max="15368" width="1.625" customWidth="1"/>
    <col min="15369" max="15369" width="10.75" customWidth="1"/>
    <col min="15370" max="15370" width="3.125" customWidth="1"/>
    <col min="15371" max="15371" width="5.25" customWidth="1"/>
    <col min="15372" max="15372" width="9.375" customWidth="1"/>
    <col min="15617" max="15617" width="7" customWidth="1"/>
    <col min="15618" max="15618" width="2.625" customWidth="1"/>
    <col min="15619" max="15619" width="10.375" customWidth="1"/>
    <col min="15620" max="15620" width="19.25" customWidth="1"/>
    <col min="15621" max="15621" width="6.75" customWidth="1"/>
    <col min="15622" max="15622" width="11.375" customWidth="1"/>
    <col min="15623" max="15623" width="14.625" customWidth="1"/>
    <col min="15624" max="15624" width="1.625" customWidth="1"/>
    <col min="15625" max="15625" width="10.75" customWidth="1"/>
    <col min="15626" max="15626" width="3.125" customWidth="1"/>
    <col min="15627" max="15627" width="5.25" customWidth="1"/>
    <col min="15628" max="15628" width="9.375" customWidth="1"/>
    <col min="15873" max="15873" width="7" customWidth="1"/>
    <col min="15874" max="15874" width="2.625" customWidth="1"/>
    <col min="15875" max="15875" width="10.375" customWidth="1"/>
    <col min="15876" max="15876" width="19.25" customWidth="1"/>
    <col min="15877" max="15877" width="6.75" customWidth="1"/>
    <col min="15878" max="15878" width="11.375" customWidth="1"/>
    <col min="15879" max="15879" width="14.625" customWidth="1"/>
    <col min="15880" max="15880" width="1.625" customWidth="1"/>
    <col min="15881" max="15881" width="10.75" customWidth="1"/>
    <col min="15882" max="15882" width="3.125" customWidth="1"/>
    <col min="15883" max="15883" width="5.25" customWidth="1"/>
    <col min="15884" max="15884" width="9.375" customWidth="1"/>
    <col min="16129" max="16129" width="7" customWidth="1"/>
    <col min="16130" max="16130" width="2.625" customWidth="1"/>
    <col min="16131" max="16131" width="10.375" customWidth="1"/>
    <col min="16132" max="16132" width="19.25" customWidth="1"/>
    <col min="16133" max="16133" width="6.75" customWidth="1"/>
    <col min="16134" max="16134" width="11.375" customWidth="1"/>
    <col min="16135" max="16135" width="14.625" customWidth="1"/>
    <col min="16136" max="16136" width="1.625" customWidth="1"/>
    <col min="16137" max="16137" width="10.75" customWidth="1"/>
    <col min="16138" max="16138" width="3.125" customWidth="1"/>
    <col min="16139" max="16139" width="5.25" customWidth="1"/>
    <col min="16140" max="16140" width="9.375" customWidth="1"/>
  </cols>
  <sheetData>
    <row r="1" spans="1:19" ht="31.5" customHeight="1">
      <c r="A1" s="325" t="s">
        <v>465</v>
      </c>
      <c r="B1" s="326"/>
      <c r="C1" s="326"/>
      <c r="D1" s="326"/>
      <c r="E1" s="326"/>
      <c r="F1" s="326"/>
      <c r="G1" s="326"/>
      <c r="H1" s="326"/>
      <c r="I1" s="326"/>
      <c r="J1" s="326"/>
      <c r="K1" s="326"/>
      <c r="L1" s="326"/>
      <c r="S1" s="34" t="s">
        <v>246</v>
      </c>
    </row>
    <row r="2" spans="1:19" s="17" customFormat="1" ht="28.9" customHeight="1">
      <c r="A2" s="333" t="s">
        <v>191</v>
      </c>
      <c r="B2" s="305" t="s">
        <v>332</v>
      </c>
      <c r="C2" s="305"/>
      <c r="D2" s="306" t="str">
        <f ca="1">IF(OFFSET(INDIRECT($S$1&amp;"!"&amp;ADDRESS(1,1)),1,0)="","",OFFSET(INDIRECT($S$1&amp;"!"&amp;ADDRESS(1,1)),1,0))</f>
        <v>赵乔娜</v>
      </c>
      <c r="E2" s="306"/>
      <c r="F2" s="19" t="s">
        <v>333</v>
      </c>
      <c r="G2" s="20" t="str">
        <f ca="1">IF(OFFSET(INDIRECT($S$1&amp;"!"&amp;ADDRESS(1,3)),1,0)="","",OFFSET(INDIRECT($S$1&amp;"!"&amp;ADDRESS(1,3)),1,0))</f>
        <v>晋D38831</v>
      </c>
      <c r="H2" s="342" t="s">
        <v>334</v>
      </c>
      <c r="I2" s="342"/>
      <c r="J2" s="342"/>
      <c r="K2" s="308" t="str">
        <f ca="1">IF(OFFSET(INDIRECT($S$1&amp;"!"&amp;ADDRESS(1,5)),1,0)="","",OFFSET(INDIRECT($S$1&amp;"!"&amp;ADDRESS(1,5)),1,0))</f>
        <v>LRDS6PEB2HH600208</v>
      </c>
      <c r="L2" s="343"/>
    </row>
    <row r="3" spans="1:19" s="17" customFormat="1" ht="24" customHeight="1">
      <c r="A3" s="334"/>
      <c r="B3" s="309" t="s">
        <v>254</v>
      </c>
      <c r="C3" s="309"/>
      <c r="D3" s="310">
        <v>123</v>
      </c>
      <c r="E3" s="310"/>
      <c r="F3" s="22" t="s">
        <v>336</v>
      </c>
      <c r="G3" s="23" t="str">
        <f ca="1">IF(OFFSET(INDIRECT($S$1&amp;"!"&amp;ADDRESS(1,11)),1,0)="","",IF(OFFSET(INDIRECT($S$1&amp;"!"&amp;ADDRESS(1,12)),1,0)="","",OFFSET(INDIRECT($S$1&amp;"!"&amp;ADDRESS(1,12)),1,0)))</f>
        <v>BJ4253SNFKB-AC</v>
      </c>
      <c r="H3" s="309" t="s">
        <v>466</v>
      </c>
      <c r="I3" s="309"/>
      <c r="J3" s="309"/>
      <c r="K3" s="312" t="str">
        <f ca="1">IF(OFFSET(INDIRECT($S$1&amp;"!"&amp;ADDRESS(1,11)),1,0)="","",OFFSET(INDIRECT($S$1&amp;"!"&amp;ADDRESS(1,11)),1,0))</f>
        <v>欧曼</v>
      </c>
      <c r="L3" s="315"/>
    </row>
    <row r="4" spans="1:19" s="17" customFormat="1" ht="24.2" customHeight="1">
      <c r="A4" s="334"/>
      <c r="B4" s="309" t="s">
        <v>467</v>
      </c>
      <c r="C4" s="309"/>
      <c r="D4" s="310" t="str">
        <f ca="1">IF(OFFSET(INDIRECT($S$1&amp;"!"&amp;ADDRESS(1,22)),1,0)="","",OFFSET(INDIRECT($S$1&amp;"!"&amp;ADDRESS(1,22)),1,0))</f>
        <v>6×4双后驱双后驻车</v>
      </c>
      <c r="E4" s="310"/>
      <c r="F4" s="22" t="s">
        <v>271</v>
      </c>
      <c r="G4" s="23">
        <v>789</v>
      </c>
      <c r="H4" s="309" t="s">
        <v>468</v>
      </c>
      <c r="I4" s="309"/>
      <c r="J4" s="309"/>
      <c r="K4" s="312">
        <v>369</v>
      </c>
      <c r="L4" s="315"/>
    </row>
    <row r="5" spans="1:19" s="17" customFormat="1" ht="25.15" customHeight="1">
      <c r="A5" s="334"/>
      <c r="B5" s="309" t="s">
        <v>469</v>
      </c>
      <c r="C5" s="309"/>
      <c r="D5" s="310" t="str">
        <f ca="1">IF(OFFSET(INDIRECT($S$1&amp;"!"&amp;ADDRESS(1,16)),1,0)="","",OFFSET(INDIRECT($S$1&amp;"!"&amp;ADDRESS(1,16)),1,0))&amp;"kg"</f>
        <v>25000kg</v>
      </c>
      <c r="E5" s="310"/>
      <c r="F5" s="22" t="s">
        <v>470</v>
      </c>
      <c r="G5" s="23" t="str">
        <f ca="1">IF(OFFSET(INDIRECT($S$1&amp;"!"&amp;ADDRESS(1,17)),1,0)="","",OFFSET(INDIRECT($S$1&amp;"!"&amp;ADDRESS(1,17)),1,0))&amp;"kg"</f>
        <v>8805kg</v>
      </c>
      <c r="H5" s="309" t="s">
        <v>385</v>
      </c>
      <c r="I5" s="309"/>
      <c r="J5" s="309"/>
      <c r="K5" s="312" t="str">
        <f ca="1">IF(OFFSET(INDIRECT($S$1&amp;"!"&amp;ADDRESS(1,23)),1,0)="","",OFFSET(INDIRECT($S$1&amp;"!"&amp;ADDRESS(1,23)),1,0))</f>
        <v>12R22.5 16PR</v>
      </c>
      <c r="L5" s="315"/>
    </row>
    <row r="6" spans="1:19" s="17" customFormat="1" ht="22.15" customHeight="1">
      <c r="A6" s="334"/>
      <c r="B6" s="309" t="s">
        <v>41</v>
      </c>
      <c r="C6" s="309"/>
      <c r="D6" s="310" t="str">
        <f ca="1">IF(OFFSET(INDIRECT($S$1&amp;"!"&amp;ADDRESS(1,10)),1,0)="","",OFFSET(INDIRECT($S$1&amp;"!"&amp;ADDRESS(1,10)),1,0))</f>
        <v>ISGe5-400</v>
      </c>
      <c r="E6" s="310"/>
      <c r="F6" s="22" t="s">
        <v>338</v>
      </c>
      <c r="G6" s="24" t="str">
        <f ca="1">IF(OFFSET(INDIRECT($S$1&amp;"!"&amp;ADDRESS(1,33)),1,0)="","",OFFSET(INDIRECT($S$1&amp;"!"&amp;ADDRESS(1,33)),1,0))</f>
        <v xml:space="preserve">柴油        </v>
      </c>
      <c r="H6" s="309" t="s">
        <v>471</v>
      </c>
      <c r="I6" s="309"/>
      <c r="J6" s="309"/>
      <c r="K6" s="312">
        <v>123</v>
      </c>
      <c r="L6" s="315"/>
    </row>
    <row r="7" spans="1:19" s="17" customFormat="1" ht="27.6" customHeight="1">
      <c r="A7" s="334"/>
      <c r="B7" s="319" t="s">
        <v>472</v>
      </c>
      <c r="C7" s="319"/>
      <c r="D7" s="319"/>
      <c r="E7" s="344" t="str">
        <f ca="1">IF(OFFSET(INDIRECT($S$1&amp;"!"&amp;ADDRESS(1,19)),1,0)="","",OFFSET(INDIRECT($S$1&amp;"!"&amp;ADDRESS(1,19)),1,0))&amp;" × "&amp;IF(OFFSET(INDIRECT($S$1&amp;"!"&amp;ADDRESS(1,20)),1,0)="","",OFFSET(INDIRECT($S$1&amp;"!"&amp;ADDRESS(1,20)),1,0)&amp;" × "&amp;IF(OFFSET(INDIRECT($S$1&amp;"!"&amp;ADDRESS(1,21)),1,0)="","",OFFSET(INDIRECT($S$1&amp;"!"&amp;ADDRESS(1,21)),1,0)))&amp;"  mm"</f>
        <v>7000 × 2495 × 3550  mm</v>
      </c>
      <c r="F7" s="344"/>
      <c r="G7" s="344"/>
      <c r="H7" s="309" t="s">
        <v>473</v>
      </c>
      <c r="I7" s="309"/>
      <c r="J7" s="309"/>
      <c r="K7" s="312">
        <v>258</v>
      </c>
      <c r="L7" s="315"/>
    </row>
    <row r="8" spans="1:19" s="17" customFormat="1" ht="27.6" customHeight="1">
      <c r="A8" s="334"/>
      <c r="B8" s="319" t="s">
        <v>474</v>
      </c>
      <c r="C8" s="319"/>
      <c r="D8" s="319"/>
      <c r="E8" s="311">
        <v>147</v>
      </c>
      <c r="F8" s="311"/>
      <c r="G8" s="311"/>
      <c r="H8" s="309" t="s">
        <v>475</v>
      </c>
      <c r="I8" s="309"/>
      <c r="J8" s="309"/>
      <c r="K8" s="312">
        <v>159</v>
      </c>
      <c r="L8" s="315"/>
    </row>
    <row r="9" spans="1:19" s="17" customFormat="1" ht="30" customHeight="1">
      <c r="A9" s="351" t="s">
        <v>362</v>
      </c>
      <c r="B9" s="352" t="s">
        <v>363</v>
      </c>
      <c r="C9" s="319" t="s">
        <v>476</v>
      </c>
      <c r="D9" s="319"/>
      <c r="E9" s="319" t="s">
        <v>347</v>
      </c>
      <c r="F9" s="319"/>
      <c r="G9" s="319" t="s">
        <v>365</v>
      </c>
      <c r="H9" s="319"/>
      <c r="I9" s="319"/>
      <c r="J9" s="319"/>
      <c r="K9" s="319"/>
      <c r="L9" s="33" t="s">
        <v>347</v>
      </c>
    </row>
    <row r="10" spans="1:19" s="17" customFormat="1" ht="30" customHeight="1">
      <c r="A10" s="351"/>
      <c r="B10" s="353"/>
      <c r="C10" s="319" t="s">
        <v>477</v>
      </c>
      <c r="D10" s="319"/>
      <c r="E10" s="319" t="s">
        <v>347</v>
      </c>
      <c r="F10" s="319"/>
      <c r="G10" s="319" t="s">
        <v>478</v>
      </c>
      <c r="H10" s="319"/>
      <c r="I10" s="319"/>
      <c r="J10" s="319"/>
      <c r="K10" s="319"/>
      <c r="L10" s="33" t="s">
        <v>347</v>
      </c>
    </row>
    <row r="11" spans="1:19" s="17" customFormat="1" ht="30" customHeight="1">
      <c r="A11" s="351"/>
      <c r="B11" s="352" t="s">
        <v>479</v>
      </c>
      <c r="C11" s="319" t="s">
        <v>480</v>
      </c>
      <c r="D11" s="319"/>
      <c r="E11" s="319" t="s">
        <v>481</v>
      </c>
      <c r="F11" s="319"/>
      <c r="G11" s="319" t="s">
        <v>380</v>
      </c>
      <c r="H11" s="319"/>
      <c r="I11" s="319"/>
      <c r="J11" s="319"/>
      <c r="K11" s="319"/>
      <c r="L11" s="33" t="s">
        <v>347</v>
      </c>
    </row>
    <row r="12" spans="1:19" s="17" customFormat="1" ht="30" customHeight="1">
      <c r="A12" s="351"/>
      <c r="B12" s="354"/>
      <c r="C12" s="319" t="s">
        <v>381</v>
      </c>
      <c r="D12" s="319"/>
      <c r="E12" s="319" t="s">
        <v>347</v>
      </c>
      <c r="F12" s="319"/>
      <c r="G12" s="319" t="s">
        <v>482</v>
      </c>
      <c r="H12" s="319"/>
      <c r="I12" s="319"/>
      <c r="J12" s="319"/>
      <c r="K12" s="319"/>
      <c r="L12" s="33" t="s">
        <v>347</v>
      </c>
    </row>
    <row r="13" spans="1:19" s="17" customFormat="1" ht="30" customHeight="1">
      <c r="A13" s="351"/>
      <c r="B13" s="354"/>
      <c r="C13" s="319" t="s">
        <v>483</v>
      </c>
      <c r="D13" s="319"/>
      <c r="E13" s="345"/>
      <c r="F13" s="345"/>
      <c r="G13" s="319" t="s">
        <v>382</v>
      </c>
      <c r="H13" s="319"/>
      <c r="I13" s="319"/>
      <c r="J13" s="319"/>
      <c r="K13" s="319"/>
      <c r="L13" s="33" t="s">
        <v>347</v>
      </c>
    </row>
    <row r="14" spans="1:19" s="17" customFormat="1" ht="30" customHeight="1">
      <c r="A14" s="351"/>
      <c r="B14" s="354"/>
      <c r="C14" s="319" t="s">
        <v>484</v>
      </c>
      <c r="D14" s="319"/>
      <c r="E14" s="345"/>
      <c r="F14" s="345"/>
      <c r="G14" s="319" t="s">
        <v>485</v>
      </c>
      <c r="H14" s="319"/>
      <c r="I14" s="319"/>
      <c r="J14" s="319"/>
      <c r="K14" s="319"/>
      <c r="L14" s="317" t="s">
        <v>347</v>
      </c>
    </row>
    <row r="15" spans="1:19" s="17" customFormat="1" ht="30" customHeight="1">
      <c r="A15" s="351"/>
      <c r="B15" s="353"/>
      <c r="C15" s="319" t="s">
        <v>486</v>
      </c>
      <c r="D15" s="319"/>
      <c r="E15" s="345"/>
      <c r="F15" s="345"/>
      <c r="G15" s="319"/>
      <c r="H15" s="319"/>
      <c r="I15" s="319"/>
      <c r="J15" s="319"/>
      <c r="K15" s="319"/>
      <c r="L15" s="317"/>
    </row>
    <row r="16" spans="1:19" s="17" customFormat="1" ht="30" customHeight="1">
      <c r="A16" s="334" t="s">
        <v>487</v>
      </c>
      <c r="B16" s="319" t="s">
        <v>488</v>
      </c>
      <c r="C16" s="319"/>
      <c r="D16" s="319"/>
      <c r="E16" s="319" t="s">
        <v>347</v>
      </c>
      <c r="F16" s="319"/>
      <c r="G16" s="319" t="s">
        <v>489</v>
      </c>
      <c r="H16" s="319"/>
      <c r="I16" s="319"/>
      <c r="J16" s="319"/>
      <c r="K16" s="319"/>
      <c r="L16" s="33" t="s">
        <v>347</v>
      </c>
    </row>
    <row r="17" spans="1:12" s="17" customFormat="1" ht="30" customHeight="1">
      <c r="A17" s="334"/>
      <c r="B17" s="319" t="s">
        <v>490</v>
      </c>
      <c r="C17" s="319"/>
      <c r="D17" s="319"/>
      <c r="E17" s="319" t="s">
        <v>347</v>
      </c>
      <c r="F17" s="319"/>
      <c r="G17" s="319" t="s">
        <v>491</v>
      </c>
      <c r="H17" s="319"/>
      <c r="I17" s="319"/>
      <c r="J17" s="319"/>
      <c r="K17" s="319"/>
      <c r="L17" s="33" t="s">
        <v>347</v>
      </c>
    </row>
    <row r="18" spans="1:12" s="17" customFormat="1" ht="30" customHeight="1">
      <c r="A18" s="334"/>
      <c r="B18" s="319" t="s">
        <v>492</v>
      </c>
      <c r="C18" s="319"/>
      <c r="D18" s="319"/>
      <c r="E18" s="319" t="s">
        <v>347</v>
      </c>
      <c r="F18" s="319"/>
      <c r="G18" s="319" t="s">
        <v>493</v>
      </c>
      <c r="H18" s="319"/>
      <c r="I18" s="319"/>
      <c r="J18" s="319"/>
      <c r="K18" s="319"/>
      <c r="L18" s="33" t="s">
        <v>347</v>
      </c>
    </row>
    <row r="19" spans="1:12" s="17" customFormat="1" ht="30" customHeight="1">
      <c r="A19" s="334"/>
      <c r="B19" s="319" t="s">
        <v>494</v>
      </c>
      <c r="C19" s="319"/>
      <c r="D19" s="319"/>
      <c r="E19" s="319" t="s">
        <v>347</v>
      </c>
      <c r="F19" s="319"/>
      <c r="G19" s="319" t="s">
        <v>495</v>
      </c>
      <c r="H19" s="319"/>
      <c r="I19" s="319"/>
      <c r="J19" s="319"/>
      <c r="K19" s="319"/>
      <c r="L19" s="33" t="s">
        <v>347</v>
      </c>
    </row>
    <row r="20" spans="1:12" s="17" customFormat="1" ht="30" customHeight="1">
      <c r="A20" s="334"/>
      <c r="B20" s="319" t="s">
        <v>496</v>
      </c>
      <c r="C20" s="319"/>
      <c r="D20" s="319"/>
      <c r="E20" s="319" t="s">
        <v>497</v>
      </c>
      <c r="F20" s="319"/>
      <c r="G20" s="319" t="s">
        <v>498</v>
      </c>
      <c r="H20" s="319"/>
      <c r="I20" s="319"/>
      <c r="J20" s="319"/>
      <c r="K20" s="319"/>
      <c r="L20" s="33" t="s">
        <v>347</v>
      </c>
    </row>
    <row r="21" spans="1:12" s="17" customFormat="1" ht="30" customHeight="1">
      <c r="A21" s="334"/>
      <c r="B21" s="319"/>
      <c r="C21" s="319"/>
      <c r="D21" s="319"/>
      <c r="E21" s="319" t="s">
        <v>499</v>
      </c>
      <c r="F21" s="319"/>
      <c r="G21" s="318" t="s">
        <v>500</v>
      </c>
      <c r="H21" s="318"/>
      <c r="I21" s="318"/>
      <c r="J21" s="318"/>
      <c r="K21" s="318"/>
      <c r="L21" s="33" t="s">
        <v>347</v>
      </c>
    </row>
    <row r="22" spans="1:12" s="17" customFormat="1" ht="32.25" customHeight="1">
      <c r="A22" s="27" t="s">
        <v>461</v>
      </c>
      <c r="B22" s="316"/>
      <c r="C22" s="316"/>
      <c r="D22" s="316"/>
      <c r="E22" s="316"/>
      <c r="F22" s="316"/>
      <c r="G22" s="309" t="s">
        <v>501</v>
      </c>
      <c r="H22" s="309"/>
      <c r="I22" s="22" t="s">
        <v>458</v>
      </c>
      <c r="J22" s="309" t="s">
        <v>459</v>
      </c>
      <c r="K22" s="309"/>
      <c r="L22" s="33" t="s">
        <v>502</v>
      </c>
    </row>
    <row r="23" spans="1:12" s="17" customFormat="1" ht="59.25" customHeight="1">
      <c r="A23" s="21" t="s">
        <v>462</v>
      </c>
      <c r="B23" s="346" t="s">
        <v>503</v>
      </c>
      <c r="C23" s="346"/>
      <c r="D23" s="346"/>
      <c r="E23" s="346"/>
      <c r="F23" s="346"/>
      <c r="G23" s="346"/>
      <c r="H23" s="346"/>
      <c r="I23" s="346"/>
      <c r="J23" s="346"/>
      <c r="K23" s="346"/>
      <c r="L23" s="347"/>
    </row>
    <row r="24" spans="1:12" s="17" customFormat="1" ht="36.75" customHeight="1">
      <c r="A24" s="348" t="s">
        <v>464</v>
      </c>
      <c r="B24" s="349"/>
      <c r="C24" s="349"/>
      <c r="D24" s="349"/>
      <c r="E24" s="349"/>
      <c r="F24" s="349"/>
      <c r="G24" s="349"/>
      <c r="H24" s="349"/>
      <c r="I24" s="349"/>
      <c r="J24" s="349"/>
      <c r="K24" s="349"/>
      <c r="L24" s="350"/>
    </row>
    <row r="25" spans="1:12" hidden="1">
      <c r="A25" s="28"/>
      <c r="B25" s="28"/>
      <c r="C25" s="28"/>
      <c r="D25" s="28"/>
      <c r="E25" s="28"/>
      <c r="F25" s="28"/>
      <c r="G25" s="28"/>
      <c r="H25" s="28"/>
      <c r="I25" s="28"/>
      <c r="J25" s="28"/>
      <c r="K25" s="28"/>
      <c r="L25" s="28"/>
    </row>
    <row r="26" spans="1:12">
      <c r="A26" s="29"/>
      <c r="B26" s="1"/>
      <c r="C26" s="1"/>
      <c r="D26" s="1"/>
      <c r="E26" s="1"/>
      <c r="F26" s="1"/>
      <c r="G26" s="1"/>
      <c r="H26" s="1"/>
      <c r="I26" s="1"/>
      <c r="J26" s="1"/>
      <c r="K26" s="1"/>
      <c r="L26" s="1"/>
    </row>
    <row r="27" spans="1:12">
      <c r="A27" s="30"/>
      <c r="B27" s="1"/>
      <c r="C27" s="1"/>
      <c r="D27" s="1"/>
      <c r="E27" s="1"/>
      <c r="F27" s="1"/>
      <c r="G27" s="1"/>
      <c r="H27" s="1"/>
      <c r="I27" s="1"/>
      <c r="J27" s="1"/>
      <c r="K27" s="1"/>
      <c r="L27" s="1"/>
    </row>
  </sheetData>
  <mergeCells count="77">
    <mergeCell ref="B23:L23"/>
    <mergeCell ref="A24:L24"/>
    <mergeCell ref="A2:A8"/>
    <mergeCell ref="A9:A15"/>
    <mergeCell ref="A16:A21"/>
    <mergeCell ref="B9:B10"/>
    <mergeCell ref="B11:B15"/>
    <mergeCell ref="L14:L15"/>
    <mergeCell ref="G14:K15"/>
    <mergeCell ref="B20:D21"/>
    <mergeCell ref="E21:F21"/>
    <mergeCell ref="G21:K21"/>
    <mergeCell ref="B22:F22"/>
    <mergeCell ref="G22:H22"/>
    <mergeCell ref="J22:K22"/>
    <mergeCell ref="B19:D19"/>
    <mergeCell ref="E19:F19"/>
    <mergeCell ref="G19:K19"/>
    <mergeCell ref="E20:F20"/>
    <mergeCell ref="G20:K20"/>
    <mergeCell ref="B17:D17"/>
    <mergeCell ref="E17:F17"/>
    <mergeCell ref="G17:K17"/>
    <mergeCell ref="B18:D18"/>
    <mergeCell ref="E18:F18"/>
    <mergeCell ref="G18:K18"/>
    <mergeCell ref="C15:D15"/>
    <mergeCell ref="E15:F15"/>
    <mergeCell ref="B16:D16"/>
    <mergeCell ref="E16:F16"/>
    <mergeCell ref="G16:K16"/>
    <mergeCell ref="C13:D13"/>
    <mergeCell ref="E13:F13"/>
    <mergeCell ref="G13:K13"/>
    <mergeCell ref="C14:D14"/>
    <mergeCell ref="E14:F14"/>
    <mergeCell ref="C11:D11"/>
    <mergeCell ref="E11:F11"/>
    <mergeCell ref="G11:K11"/>
    <mergeCell ref="C12:D12"/>
    <mergeCell ref="E12:F12"/>
    <mergeCell ref="G12:K12"/>
    <mergeCell ref="C9:D9"/>
    <mergeCell ref="E9:F9"/>
    <mergeCell ref="G9:K9"/>
    <mergeCell ref="C10:D10"/>
    <mergeCell ref="E10:F10"/>
    <mergeCell ref="G10:K10"/>
    <mergeCell ref="B7:D7"/>
    <mergeCell ref="E7:G7"/>
    <mergeCell ref="H7:J7"/>
    <mergeCell ref="K7:L7"/>
    <mergeCell ref="B8:D8"/>
    <mergeCell ref="E8:G8"/>
    <mergeCell ref="H8:J8"/>
    <mergeCell ref="K8:L8"/>
    <mergeCell ref="B5:C5"/>
    <mergeCell ref="D5:E5"/>
    <mergeCell ref="H5:J5"/>
    <mergeCell ref="K5:L5"/>
    <mergeCell ref="B6:C6"/>
    <mergeCell ref="D6:E6"/>
    <mergeCell ref="H6:J6"/>
    <mergeCell ref="K6:L6"/>
    <mergeCell ref="B3:C3"/>
    <mergeCell ref="D3:E3"/>
    <mergeCell ref="H3:J3"/>
    <mergeCell ref="K3:L3"/>
    <mergeCell ref="B4:C4"/>
    <mergeCell ref="D4:E4"/>
    <mergeCell ref="H4:J4"/>
    <mergeCell ref="K4:L4"/>
    <mergeCell ref="A1:L1"/>
    <mergeCell ref="B2:C2"/>
    <mergeCell ref="D2:E2"/>
    <mergeCell ref="H2:J2"/>
    <mergeCell ref="K2:L2"/>
  </mergeCells>
  <phoneticPr fontId="93" type="noConversion"/>
  <pageMargins left="0.39305555555555599" right="0.39305555555555599" top="0.59027777777777801" bottom="0.59027777777777801" header="0.51180555555555596" footer="0.51180555555555596"/>
  <pageSetup paperSize="9" orientation="portrait" horizontalDpi="1200" verticalDpi="1200" r:id="rId1"/>
</worksheet>
</file>

<file path=xl/worksheets/sheet14.xml><?xml version="1.0" encoding="utf-8"?>
<worksheet xmlns="http://schemas.openxmlformats.org/spreadsheetml/2006/main" xmlns:r="http://schemas.openxmlformats.org/officeDocument/2006/relationships">
  <sheetPr codeName="Sheet14">
    <tabColor rgb="FFFF0000"/>
  </sheetPr>
  <dimension ref="A1:S51"/>
  <sheetViews>
    <sheetView showGridLines="0" view="pageBreakPreview" topLeftCell="A16" zoomScaleNormal="100" zoomScaleSheetLayoutView="100" workbookViewId="0">
      <selection activeCell="I15" sqref="I15"/>
    </sheetView>
  </sheetViews>
  <sheetFormatPr defaultColWidth="9" defaultRowHeight="13.5"/>
  <cols>
    <col min="1" max="1" width="12.875" style="1" customWidth="1"/>
    <col min="2" max="2" width="14.875" style="1" customWidth="1"/>
    <col min="3" max="3" width="15.75" style="1" customWidth="1"/>
    <col min="4" max="4" width="14.875" style="1" customWidth="1"/>
    <col min="5" max="6" width="14.5" style="1" customWidth="1"/>
    <col min="7" max="256" width="9" style="1"/>
    <col min="257" max="257" width="14.5" style="1" customWidth="1"/>
    <col min="258" max="258" width="14.875" style="1" customWidth="1"/>
    <col min="259" max="259" width="15.75" style="1" customWidth="1"/>
    <col min="260" max="260" width="14.875" style="1" customWidth="1"/>
    <col min="261" max="262" width="14.5" style="1" customWidth="1"/>
    <col min="263" max="512" width="9" style="1"/>
    <col min="513" max="513" width="14.5" style="1" customWidth="1"/>
    <col min="514" max="514" width="14.875" style="1" customWidth="1"/>
    <col min="515" max="515" width="15.75" style="1" customWidth="1"/>
    <col min="516" max="516" width="14.875" style="1" customWidth="1"/>
    <col min="517" max="518" width="14.5" style="1" customWidth="1"/>
    <col min="519" max="768" width="9" style="1"/>
    <col min="769" max="769" width="14.5" style="1" customWidth="1"/>
    <col min="770" max="770" width="14.875" style="1" customWidth="1"/>
    <col min="771" max="771" width="15.75" style="1" customWidth="1"/>
    <col min="772" max="772" width="14.875" style="1" customWidth="1"/>
    <col min="773" max="774" width="14.5" style="1" customWidth="1"/>
    <col min="775" max="1024" width="9" style="1"/>
    <col min="1025" max="1025" width="14.5" style="1" customWidth="1"/>
    <col min="1026" max="1026" width="14.875" style="1" customWidth="1"/>
    <col min="1027" max="1027" width="15.75" style="1" customWidth="1"/>
    <col min="1028" max="1028" width="14.875" style="1" customWidth="1"/>
    <col min="1029" max="1030" width="14.5" style="1" customWidth="1"/>
    <col min="1031" max="1280" width="9" style="1"/>
    <col min="1281" max="1281" width="14.5" style="1" customWidth="1"/>
    <col min="1282" max="1282" width="14.875" style="1" customWidth="1"/>
    <col min="1283" max="1283" width="15.75" style="1" customWidth="1"/>
    <col min="1284" max="1284" width="14.875" style="1" customWidth="1"/>
    <col min="1285" max="1286" width="14.5" style="1" customWidth="1"/>
    <col min="1287" max="1536" width="9" style="1"/>
    <col min="1537" max="1537" width="14.5" style="1" customWidth="1"/>
    <col min="1538" max="1538" width="14.875" style="1" customWidth="1"/>
    <col min="1539" max="1539" width="15.75" style="1" customWidth="1"/>
    <col min="1540" max="1540" width="14.875" style="1" customWidth="1"/>
    <col min="1541" max="1542" width="14.5" style="1" customWidth="1"/>
    <col min="1543" max="1792" width="9" style="1"/>
    <col min="1793" max="1793" width="14.5" style="1" customWidth="1"/>
    <col min="1794" max="1794" width="14.875" style="1" customWidth="1"/>
    <col min="1795" max="1795" width="15.75" style="1" customWidth="1"/>
    <col min="1796" max="1796" width="14.875" style="1" customWidth="1"/>
    <col min="1797" max="1798" width="14.5" style="1" customWidth="1"/>
    <col min="1799" max="2048" width="9" style="1"/>
    <col min="2049" max="2049" width="14.5" style="1" customWidth="1"/>
    <col min="2050" max="2050" width="14.875" style="1" customWidth="1"/>
    <col min="2051" max="2051" width="15.75" style="1" customWidth="1"/>
    <col min="2052" max="2052" width="14.875" style="1" customWidth="1"/>
    <col min="2053" max="2054" width="14.5" style="1" customWidth="1"/>
    <col min="2055" max="2304" width="9" style="1"/>
    <col min="2305" max="2305" width="14.5" style="1" customWidth="1"/>
    <col min="2306" max="2306" width="14.875" style="1" customWidth="1"/>
    <col min="2307" max="2307" width="15.75" style="1" customWidth="1"/>
    <col min="2308" max="2308" width="14.875" style="1" customWidth="1"/>
    <col min="2309" max="2310" width="14.5" style="1" customWidth="1"/>
    <col min="2311" max="2560" width="9" style="1"/>
    <col min="2561" max="2561" width="14.5" style="1" customWidth="1"/>
    <col min="2562" max="2562" width="14.875" style="1" customWidth="1"/>
    <col min="2563" max="2563" width="15.75" style="1" customWidth="1"/>
    <col min="2564" max="2564" width="14.875" style="1" customWidth="1"/>
    <col min="2565" max="2566" width="14.5" style="1" customWidth="1"/>
    <col min="2567" max="2816" width="9" style="1"/>
    <col min="2817" max="2817" width="14.5" style="1" customWidth="1"/>
    <col min="2818" max="2818" width="14.875" style="1" customWidth="1"/>
    <col min="2819" max="2819" width="15.75" style="1" customWidth="1"/>
    <col min="2820" max="2820" width="14.875" style="1" customWidth="1"/>
    <col min="2821" max="2822" width="14.5" style="1" customWidth="1"/>
    <col min="2823" max="3072" width="9" style="1"/>
    <col min="3073" max="3073" width="14.5" style="1" customWidth="1"/>
    <col min="3074" max="3074" width="14.875" style="1" customWidth="1"/>
    <col min="3075" max="3075" width="15.75" style="1" customWidth="1"/>
    <col min="3076" max="3076" width="14.875" style="1" customWidth="1"/>
    <col min="3077" max="3078" width="14.5" style="1" customWidth="1"/>
    <col min="3079" max="3328" width="9" style="1"/>
    <col min="3329" max="3329" width="14.5" style="1" customWidth="1"/>
    <col min="3330" max="3330" width="14.875" style="1" customWidth="1"/>
    <col min="3331" max="3331" width="15.75" style="1" customWidth="1"/>
    <col min="3332" max="3332" width="14.875" style="1" customWidth="1"/>
    <col min="3333" max="3334" width="14.5" style="1" customWidth="1"/>
    <col min="3335" max="3584" width="9" style="1"/>
    <col min="3585" max="3585" width="14.5" style="1" customWidth="1"/>
    <col min="3586" max="3586" width="14.875" style="1" customWidth="1"/>
    <col min="3587" max="3587" width="15.75" style="1" customWidth="1"/>
    <col min="3588" max="3588" width="14.875" style="1" customWidth="1"/>
    <col min="3589" max="3590" width="14.5" style="1" customWidth="1"/>
    <col min="3591" max="3840" width="9" style="1"/>
    <col min="3841" max="3841" width="14.5" style="1" customWidth="1"/>
    <col min="3842" max="3842" width="14.875" style="1" customWidth="1"/>
    <col min="3843" max="3843" width="15.75" style="1" customWidth="1"/>
    <col min="3844" max="3844" width="14.875" style="1" customWidth="1"/>
    <col min="3845" max="3846" width="14.5" style="1" customWidth="1"/>
    <col min="3847" max="4096" width="9" style="1"/>
    <col min="4097" max="4097" width="14.5" style="1" customWidth="1"/>
    <col min="4098" max="4098" width="14.875" style="1" customWidth="1"/>
    <col min="4099" max="4099" width="15.75" style="1" customWidth="1"/>
    <col min="4100" max="4100" width="14.875" style="1" customWidth="1"/>
    <col min="4101" max="4102" width="14.5" style="1" customWidth="1"/>
    <col min="4103" max="4352" width="9" style="1"/>
    <col min="4353" max="4353" width="14.5" style="1" customWidth="1"/>
    <col min="4354" max="4354" width="14.875" style="1" customWidth="1"/>
    <col min="4355" max="4355" width="15.75" style="1" customWidth="1"/>
    <col min="4356" max="4356" width="14.875" style="1" customWidth="1"/>
    <col min="4357" max="4358" width="14.5" style="1" customWidth="1"/>
    <col min="4359" max="4608" width="9" style="1"/>
    <col min="4609" max="4609" width="14.5" style="1" customWidth="1"/>
    <col min="4610" max="4610" width="14.875" style="1" customWidth="1"/>
    <col min="4611" max="4611" width="15.75" style="1" customWidth="1"/>
    <col min="4612" max="4612" width="14.875" style="1" customWidth="1"/>
    <col min="4613" max="4614" width="14.5" style="1" customWidth="1"/>
    <col min="4615" max="4864" width="9" style="1"/>
    <col min="4865" max="4865" width="14.5" style="1" customWidth="1"/>
    <col min="4866" max="4866" width="14.875" style="1" customWidth="1"/>
    <col min="4867" max="4867" width="15.75" style="1" customWidth="1"/>
    <col min="4868" max="4868" width="14.875" style="1" customWidth="1"/>
    <col min="4869" max="4870" width="14.5" style="1" customWidth="1"/>
    <col min="4871" max="5120" width="9" style="1"/>
    <col min="5121" max="5121" width="14.5" style="1" customWidth="1"/>
    <col min="5122" max="5122" width="14.875" style="1" customWidth="1"/>
    <col min="5123" max="5123" width="15.75" style="1" customWidth="1"/>
    <col min="5124" max="5124" width="14.875" style="1" customWidth="1"/>
    <col min="5125" max="5126" width="14.5" style="1" customWidth="1"/>
    <col min="5127" max="5376" width="9" style="1"/>
    <col min="5377" max="5377" width="14.5" style="1" customWidth="1"/>
    <col min="5378" max="5378" width="14.875" style="1" customWidth="1"/>
    <col min="5379" max="5379" width="15.75" style="1" customWidth="1"/>
    <col min="5380" max="5380" width="14.875" style="1" customWidth="1"/>
    <col min="5381" max="5382" width="14.5" style="1" customWidth="1"/>
    <col min="5383" max="5632" width="9" style="1"/>
    <col min="5633" max="5633" width="14.5" style="1" customWidth="1"/>
    <col min="5634" max="5634" width="14.875" style="1" customWidth="1"/>
    <col min="5635" max="5635" width="15.75" style="1" customWidth="1"/>
    <col min="5636" max="5636" width="14.875" style="1" customWidth="1"/>
    <col min="5637" max="5638" width="14.5" style="1" customWidth="1"/>
    <col min="5639" max="5888" width="9" style="1"/>
    <col min="5889" max="5889" width="14.5" style="1" customWidth="1"/>
    <col min="5890" max="5890" width="14.875" style="1" customWidth="1"/>
    <col min="5891" max="5891" width="15.75" style="1" customWidth="1"/>
    <col min="5892" max="5892" width="14.875" style="1" customWidth="1"/>
    <col min="5893" max="5894" width="14.5" style="1" customWidth="1"/>
    <col min="5895" max="6144" width="9" style="1"/>
    <col min="6145" max="6145" width="14.5" style="1" customWidth="1"/>
    <col min="6146" max="6146" width="14.875" style="1" customWidth="1"/>
    <col min="6147" max="6147" width="15.75" style="1" customWidth="1"/>
    <col min="6148" max="6148" width="14.875" style="1" customWidth="1"/>
    <col min="6149" max="6150" width="14.5" style="1" customWidth="1"/>
    <col min="6151" max="6400" width="9" style="1"/>
    <col min="6401" max="6401" width="14.5" style="1" customWidth="1"/>
    <col min="6402" max="6402" width="14.875" style="1" customWidth="1"/>
    <col min="6403" max="6403" width="15.75" style="1" customWidth="1"/>
    <col min="6404" max="6404" width="14.875" style="1" customWidth="1"/>
    <col min="6405" max="6406" width="14.5" style="1" customWidth="1"/>
    <col min="6407" max="6656" width="9" style="1"/>
    <col min="6657" max="6657" width="14.5" style="1" customWidth="1"/>
    <col min="6658" max="6658" width="14.875" style="1" customWidth="1"/>
    <col min="6659" max="6659" width="15.75" style="1" customWidth="1"/>
    <col min="6660" max="6660" width="14.875" style="1" customWidth="1"/>
    <col min="6661" max="6662" width="14.5" style="1" customWidth="1"/>
    <col min="6663" max="6912" width="9" style="1"/>
    <col min="6913" max="6913" width="14.5" style="1" customWidth="1"/>
    <col min="6914" max="6914" width="14.875" style="1" customWidth="1"/>
    <col min="6915" max="6915" width="15.75" style="1" customWidth="1"/>
    <col min="6916" max="6916" width="14.875" style="1" customWidth="1"/>
    <col min="6917" max="6918" width="14.5" style="1" customWidth="1"/>
    <col min="6919" max="7168" width="9" style="1"/>
    <col min="7169" max="7169" width="14.5" style="1" customWidth="1"/>
    <col min="7170" max="7170" width="14.875" style="1" customWidth="1"/>
    <col min="7171" max="7171" width="15.75" style="1" customWidth="1"/>
    <col min="7172" max="7172" width="14.875" style="1" customWidth="1"/>
    <col min="7173" max="7174" width="14.5" style="1" customWidth="1"/>
    <col min="7175" max="7424" width="9" style="1"/>
    <col min="7425" max="7425" width="14.5" style="1" customWidth="1"/>
    <col min="7426" max="7426" width="14.875" style="1" customWidth="1"/>
    <col min="7427" max="7427" width="15.75" style="1" customWidth="1"/>
    <col min="7428" max="7428" width="14.875" style="1" customWidth="1"/>
    <col min="7429" max="7430" width="14.5" style="1" customWidth="1"/>
    <col min="7431" max="7680" width="9" style="1"/>
    <col min="7681" max="7681" width="14.5" style="1" customWidth="1"/>
    <col min="7682" max="7682" width="14.875" style="1" customWidth="1"/>
    <col min="7683" max="7683" width="15.75" style="1" customWidth="1"/>
    <col min="7684" max="7684" width="14.875" style="1" customWidth="1"/>
    <col min="7685" max="7686" width="14.5" style="1" customWidth="1"/>
    <col min="7687" max="7936" width="9" style="1"/>
    <col min="7937" max="7937" width="14.5" style="1" customWidth="1"/>
    <col min="7938" max="7938" width="14.875" style="1" customWidth="1"/>
    <col min="7939" max="7939" width="15.75" style="1" customWidth="1"/>
    <col min="7940" max="7940" width="14.875" style="1" customWidth="1"/>
    <col min="7941" max="7942" width="14.5" style="1" customWidth="1"/>
    <col min="7943" max="8192" width="9" style="1"/>
    <col min="8193" max="8193" width="14.5" style="1" customWidth="1"/>
    <col min="8194" max="8194" width="14.875" style="1" customWidth="1"/>
    <col min="8195" max="8195" width="15.75" style="1" customWidth="1"/>
    <col min="8196" max="8196" width="14.875" style="1" customWidth="1"/>
    <col min="8197" max="8198" width="14.5" style="1" customWidth="1"/>
    <col min="8199" max="8448" width="9" style="1"/>
    <col min="8449" max="8449" width="14.5" style="1" customWidth="1"/>
    <col min="8450" max="8450" width="14.875" style="1" customWidth="1"/>
    <col min="8451" max="8451" width="15.75" style="1" customWidth="1"/>
    <col min="8452" max="8452" width="14.875" style="1" customWidth="1"/>
    <col min="8453" max="8454" width="14.5" style="1" customWidth="1"/>
    <col min="8455" max="8704" width="9" style="1"/>
    <col min="8705" max="8705" width="14.5" style="1" customWidth="1"/>
    <col min="8706" max="8706" width="14.875" style="1" customWidth="1"/>
    <col min="8707" max="8707" width="15.75" style="1" customWidth="1"/>
    <col min="8708" max="8708" width="14.875" style="1" customWidth="1"/>
    <col min="8709" max="8710" width="14.5" style="1" customWidth="1"/>
    <col min="8711" max="8960" width="9" style="1"/>
    <col min="8961" max="8961" width="14.5" style="1" customWidth="1"/>
    <col min="8962" max="8962" width="14.875" style="1" customWidth="1"/>
    <col min="8963" max="8963" width="15.75" style="1" customWidth="1"/>
    <col min="8964" max="8964" width="14.875" style="1" customWidth="1"/>
    <col min="8965" max="8966" width="14.5" style="1" customWidth="1"/>
    <col min="8967" max="9216" width="9" style="1"/>
    <col min="9217" max="9217" width="14.5" style="1" customWidth="1"/>
    <col min="9218" max="9218" width="14.875" style="1" customWidth="1"/>
    <col min="9219" max="9219" width="15.75" style="1" customWidth="1"/>
    <col min="9220" max="9220" width="14.875" style="1" customWidth="1"/>
    <col min="9221" max="9222" width="14.5" style="1" customWidth="1"/>
    <col min="9223" max="9472" width="9" style="1"/>
    <col min="9473" max="9473" width="14.5" style="1" customWidth="1"/>
    <col min="9474" max="9474" width="14.875" style="1" customWidth="1"/>
    <col min="9475" max="9475" width="15.75" style="1" customWidth="1"/>
    <col min="9476" max="9476" width="14.875" style="1" customWidth="1"/>
    <col min="9477" max="9478" width="14.5" style="1" customWidth="1"/>
    <col min="9479" max="9728" width="9" style="1"/>
    <col min="9729" max="9729" width="14.5" style="1" customWidth="1"/>
    <col min="9730" max="9730" width="14.875" style="1" customWidth="1"/>
    <col min="9731" max="9731" width="15.75" style="1" customWidth="1"/>
    <col min="9732" max="9732" width="14.875" style="1" customWidth="1"/>
    <col min="9733" max="9734" width="14.5" style="1" customWidth="1"/>
    <col min="9735" max="9984" width="9" style="1"/>
    <col min="9985" max="9985" width="14.5" style="1" customWidth="1"/>
    <col min="9986" max="9986" width="14.875" style="1" customWidth="1"/>
    <col min="9987" max="9987" width="15.75" style="1" customWidth="1"/>
    <col min="9988" max="9988" width="14.875" style="1" customWidth="1"/>
    <col min="9989" max="9990" width="14.5" style="1" customWidth="1"/>
    <col min="9991" max="10240" width="9" style="1"/>
    <col min="10241" max="10241" width="14.5" style="1" customWidth="1"/>
    <col min="10242" max="10242" width="14.875" style="1" customWidth="1"/>
    <col min="10243" max="10243" width="15.75" style="1" customWidth="1"/>
    <col min="10244" max="10244" width="14.875" style="1" customWidth="1"/>
    <col min="10245" max="10246" width="14.5" style="1" customWidth="1"/>
    <col min="10247" max="10496" width="9" style="1"/>
    <col min="10497" max="10497" width="14.5" style="1" customWidth="1"/>
    <col min="10498" max="10498" width="14.875" style="1" customWidth="1"/>
    <col min="10499" max="10499" width="15.75" style="1" customWidth="1"/>
    <col min="10500" max="10500" width="14.875" style="1" customWidth="1"/>
    <col min="10501" max="10502" width="14.5" style="1" customWidth="1"/>
    <col min="10503" max="10752" width="9" style="1"/>
    <col min="10753" max="10753" width="14.5" style="1" customWidth="1"/>
    <col min="10754" max="10754" width="14.875" style="1" customWidth="1"/>
    <col min="10755" max="10755" width="15.75" style="1" customWidth="1"/>
    <col min="10756" max="10756" width="14.875" style="1" customWidth="1"/>
    <col min="10757" max="10758" width="14.5" style="1" customWidth="1"/>
    <col min="10759" max="11008" width="9" style="1"/>
    <col min="11009" max="11009" width="14.5" style="1" customWidth="1"/>
    <col min="11010" max="11010" width="14.875" style="1" customWidth="1"/>
    <col min="11011" max="11011" width="15.75" style="1" customWidth="1"/>
    <col min="11012" max="11012" width="14.875" style="1" customWidth="1"/>
    <col min="11013" max="11014" width="14.5" style="1" customWidth="1"/>
    <col min="11015" max="11264" width="9" style="1"/>
    <col min="11265" max="11265" width="14.5" style="1" customWidth="1"/>
    <col min="11266" max="11266" width="14.875" style="1" customWidth="1"/>
    <col min="11267" max="11267" width="15.75" style="1" customWidth="1"/>
    <col min="11268" max="11268" width="14.875" style="1" customWidth="1"/>
    <col min="11269" max="11270" width="14.5" style="1" customWidth="1"/>
    <col min="11271" max="11520" width="9" style="1"/>
    <col min="11521" max="11521" width="14.5" style="1" customWidth="1"/>
    <col min="11522" max="11522" width="14.875" style="1" customWidth="1"/>
    <col min="11523" max="11523" width="15.75" style="1" customWidth="1"/>
    <col min="11524" max="11524" width="14.875" style="1" customWidth="1"/>
    <col min="11525" max="11526" width="14.5" style="1" customWidth="1"/>
    <col min="11527" max="11776" width="9" style="1"/>
    <col min="11777" max="11777" width="14.5" style="1" customWidth="1"/>
    <col min="11778" max="11778" width="14.875" style="1" customWidth="1"/>
    <col min="11779" max="11779" width="15.75" style="1" customWidth="1"/>
    <col min="11780" max="11780" width="14.875" style="1" customWidth="1"/>
    <col min="11781" max="11782" width="14.5" style="1" customWidth="1"/>
    <col min="11783" max="12032" width="9" style="1"/>
    <col min="12033" max="12033" width="14.5" style="1" customWidth="1"/>
    <col min="12034" max="12034" width="14.875" style="1" customWidth="1"/>
    <col min="12035" max="12035" width="15.75" style="1" customWidth="1"/>
    <col min="12036" max="12036" width="14.875" style="1" customWidth="1"/>
    <col min="12037" max="12038" width="14.5" style="1" customWidth="1"/>
    <col min="12039" max="12288" width="9" style="1"/>
    <col min="12289" max="12289" width="14.5" style="1" customWidth="1"/>
    <col min="12290" max="12290" width="14.875" style="1" customWidth="1"/>
    <col min="12291" max="12291" width="15.75" style="1" customWidth="1"/>
    <col min="12292" max="12292" width="14.875" style="1" customWidth="1"/>
    <col min="12293" max="12294" width="14.5" style="1" customWidth="1"/>
    <col min="12295" max="12544" width="9" style="1"/>
    <col min="12545" max="12545" width="14.5" style="1" customWidth="1"/>
    <col min="12546" max="12546" width="14.875" style="1" customWidth="1"/>
    <col min="12547" max="12547" width="15.75" style="1" customWidth="1"/>
    <col min="12548" max="12548" width="14.875" style="1" customWidth="1"/>
    <col min="12549" max="12550" width="14.5" style="1" customWidth="1"/>
    <col min="12551" max="12800" width="9" style="1"/>
    <col min="12801" max="12801" width="14.5" style="1" customWidth="1"/>
    <col min="12802" max="12802" width="14.875" style="1" customWidth="1"/>
    <col min="12803" max="12803" width="15.75" style="1" customWidth="1"/>
    <col min="12804" max="12804" width="14.875" style="1" customWidth="1"/>
    <col min="12805" max="12806" width="14.5" style="1" customWidth="1"/>
    <col min="12807" max="13056" width="9" style="1"/>
    <col min="13057" max="13057" width="14.5" style="1" customWidth="1"/>
    <col min="13058" max="13058" width="14.875" style="1" customWidth="1"/>
    <col min="13059" max="13059" width="15.75" style="1" customWidth="1"/>
    <col min="13060" max="13060" width="14.875" style="1" customWidth="1"/>
    <col min="13061" max="13062" width="14.5" style="1" customWidth="1"/>
    <col min="13063" max="13312" width="9" style="1"/>
    <col min="13313" max="13313" width="14.5" style="1" customWidth="1"/>
    <col min="13314" max="13314" width="14.875" style="1" customWidth="1"/>
    <col min="13315" max="13315" width="15.75" style="1" customWidth="1"/>
    <col min="13316" max="13316" width="14.875" style="1" customWidth="1"/>
    <col min="13317" max="13318" width="14.5" style="1" customWidth="1"/>
    <col min="13319" max="13568" width="9" style="1"/>
    <col min="13569" max="13569" width="14.5" style="1" customWidth="1"/>
    <col min="13570" max="13570" width="14.875" style="1" customWidth="1"/>
    <col min="13571" max="13571" width="15.75" style="1" customWidth="1"/>
    <col min="13572" max="13572" width="14.875" style="1" customWidth="1"/>
    <col min="13573" max="13574" width="14.5" style="1" customWidth="1"/>
    <col min="13575" max="13824" width="9" style="1"/>
    <col min="13825" max="13825" width="14.5" style="1" customWidth="1"/>
    <col min="13826" max="13826" width="14.875" style="1" customWidth="1"/>
    <col min="13827" max="13827" width="15.75" style="1" customWidth="1"/>
    <col min="13828" max="13828" width="14.875" style="1" customWidth="1"/>
    <col min="13829" max="13830" width="14.5" style="1" customWidth="1"/>
    <col min="13831" max="14080" width="9" style="1"/>
    <col min="14081" max="14081" width="14.5" style="1" customWidth="1"/>
    <col min="14082" max="14082" width="14.875" style="1" customWidth="1"/>
    <col min="14083" max="14083" width="15.75" style="1" customWidth="1"/>
    <col min="14084" max="14084" width="14.875" style="1" customWidth="1"/>
    <col min="14085" max="14086" width="14.5" style="1" customWidth="1"/>
    <col min="14087" max="14336" width="9" style="1"/>
    <col min="14337" max="14337" width="14.5" style="1" customWidth="1"/>
    <col min="14338" max="14338" width="14.875" style="1" customWidth="1"/>
    <col min="14339" max="14339" width="15.75" style="1" customWidth="1"/>
    <col min="14340" max="14340" width="14.875" style="1" customWidth="1"/>
    <col min="14341" max="14342" width="14.5" style="1" customWidth="1"/>
    <col min="14343" max="14592" width="9" style="1"/>
    <col min="14593" max="14593" width="14.5" style="1" customWidth="1"/>
    <col min="14594" max="14594" width="14.875" style="1" customWidth="1"/>
    <col min="14595" max="14595" width="15.75" style="1" customWidth="1"/>
    <col min="14596" max="14596" width="14.875" style="1" customWidth="1"/>
    <col min="14597" max="14598" width="14.5" style="1" customWidth="1"/>
    <col min="14599" max="14848" width="9" style="1"/>
    <col min="14849" max="14849" width="14.5" style="1" customWidth="1"/>
    <col min="14850" max="14850" width="14.875" style="1" customWidth="1"/>
    <col min="14851" max="14851" width="15.75" style="1" customWidth="1"/>
    <col min="14852" max="14852" width="14.875" style="1" customWidth="1"/>
    <col min="14853" max="14854" width="14.5" style="1" customWidth="1"/>
    <col min="14855" max="15104" width="9" style="1"/>
    <col min="15105" max="15105" width="14.5" style="1" customWidth="1"/>
    <col min="15106" max="15106" width="14.875" style="1" customWidth="1"/>
    <col min="15107" max="15107" width="15.75" style="1" customWidth="1"/>
    <col min="15108" max="15108" width="14.875" style="1" customWidth="1"/>
    <col min="15109" max="15110" width="14.5" style="1" customWidth="1"/>
    <col min="15111" max="15360" width="9" style="1"/>
    <col min="15361" max="15361" width="14.5" style="1" customWidth="1"/>
    <col min="15362" max="15362" width="14.875" style="1" customWidth="1"/>
    <col min="15363" max="15363" width="15.75" style="1" customWidth="1"/>
    <col min="15364" max="15364" width="14.875" style="1" customWidth="1"/>
    <col min="15365" max="15366" width="14.5" style="1" customWidth="1"/>
    <col min="15367" max="15616" width="9" style="1"/>
    <col min="15617" max="15617" width="14.5" style="1" customWidth="1"/>
    <col min="15618" max="15618" width="14.875" style="1" customWidth="1"/>
    <col min="15619" max="15619" width="15.75" style="1" customWidth="1"/>
    <col min="15620" max="15620" width="14.875" style="1" customWidth="1"/>
    <col min="15621" max="15622" width="14.5" style="1" customWidth="1"/>
    <col min="15623" max="15872" width="9" style="1"/>
    <col min="15873" max="15873" width="14.5" style="1" customWidth="1"/>
    <col min="15874" max="15874" width="14.875" style="1" customWidth="1"/>
    <col min="15875" max="15875" width="15.75" style="1" customWidth="1"/>
    <col min="15876" max="15876" width="14.875" style="1" customWidth="1"/>
    <col min="15877" max="15878" width="14.5" style="1" customWidth="1"/>
    <col min="15879" max="16128" width="9" style="1"/>
    <col min="16129" max="16129" width="14.5" style="1" customWidth="1"/>
    <col min="16130" max="16130" width="14.875" style="1" customWidth="1"/>
    <col min="16131" max="16131" width="15.75" style="1" customWidth="1"/>
    <col min="16132" max="16132" width="14.875" style="1" customWidth="1"/>
    <col min="16133" max="16134" width="14.5" style="1" customWidth="1"/>
    <col min="16135" max="16384" width="9" style="1"/>
  </cols>
  <sheetData>
    <row r="1" spans="1:19" ht="22.15" customHeight="1">
      <c r="A1" s="355" t="s">
        <v>504</v>
      </c>
      <c r="B1" s="356"/>
      <c r="C1" s="356"/>
      <c r="D1" s="356"/>
      <c r="E1" s="356"/>
      <c r="F1" s="356"/>
      <c r="S1" s="1" t="s">
        <v>246</v>
      </c>
    </row>
    <row r="2" spans="1:19" ht="18.75" customHeight="1">
      <c r="A2" s="2"/>
      <c r="B2" s="3"/>
      <c r="C2" s="357" t="str">
        <f ca="1">"（ "&amp;YEAR(NOW())&amp;"  年） "</f>
        <v xml:space="preserve">（ 2020  年） </v>
      </c>
      <c r="D2" s="357"/>
      <c r="E2" s="3" t="s">
        <v>505</v>
      </c>
      <c r="F2" s="3"/>
    </row>
    <row r="3" spans="1:19" ht="23.1" customHeight="1">
      <c r="A3" s="4" t="s">
        <v>332</v>
      </c>
      <c r="B3" s="358" t="str">
        <f ca="1">IF(OFFSET(INDIRECT($S$1&amp;"!"&amp;ADDRESS(1,1)),1,0)="","",OFFSET(INDIRECT($S$1&amp;"!"&amp;ADDRESS(1,1)),1,0))</f>
        <v>赵乔娜</v>
      </c>
      <c r="C3" s="358"/>
      <c r="D3" s="358"/>
      <c r="E3" s="6" t="s">
        <v>81</v>
      </c>
      <c r="F3" s="7" t="str">
        <f ca="1">IF(OFFSET(INDIRECT($S$1&amp;"!"&amp;ADDRESS(1,3)),1,0)="","",OFFSET(INDIRECT($S$1&amp;"!"&amp;ADDRESS(1,3)),1,0))</f>
        <v>晋D38831</v>
      </c>
    </row>
    <row r="4" spans="1:19" ht="23.1" customHeight="1">
      <c r="A4" s="4" t="s">
        <v>506</v>
      </c>
      <c r="B4" s="5" t="str">
        <f ca="1">IF(OFFSET(INDIRECT($S$1&amp;"!"&amp;ADDRESS(1,6)),1,0)="","",OFFSET(INDIRECT($S$1&amp;"!"&amp;ADDRESS(1,6)),1,0))</f>
        <v>大型汽车</v>
      </c>
      <c r="C4" s="6" t="s">
        <v>507</v>
      </c>
      <c r="D4" s="6" t="str">
        <f ca="1">IF(OFFSET(INDIRECT($S$1&amp;"!"&amp;ADDRESS(1,18)),1,0)="","",OFFSET(INDIRECT($S$1&amp;"!"&amp;ADDRESS(1,18)),1,0))&amp;"个"</f>
        <v>2个</v>
      </c>
      <c r="E4" s="6" t="s">
        <v>508</v>
      </c>
      <c r="F4" s="8" t="s">
        <v>509</v>
      </c>
    </row>
    <row r="5" spans="1:19" ht="23.1" customHeight="1">
      <c r="A5" s="4" t="s">
        <v>510</v>
      </c>
      <c r="B5" s="5"/>
      <c r="C5" s="6" t="s">
        <v>511</v>
      </c>
      <c r="D5" s="9"/>
      <c r="E5" s="6" t="s">
        <v>512</v>
      </c>
      <c r="F5" s="9" t="s">
        <v>513</v>
      </c>
    </row>
    <row r="6" spans="1:19" ht="24.95" customHeight="1">
      <c r="A6" s="10" t="s">
        <v>514</v>
      </c>
      <c r="B6" s="359" t="s">
        <v>515</v>
      </c>
      <c r="C6" s="359"/>
      <c r="D6" s="359"/>
      <c r="E6" s="359" t="s">
        <v>516</v>
      </c>
      <c r="F6" s="359"/>
    </row>
    <row r="7" spans="1:19" ht="24" customHeight="1">
      <c r="A7" s="366" t="s">
        <v>517</v>
      </c>
      <c r="B7" s="367" t="s">
        <v>518</v>
      </c>
      <c r="C7" s="367"/>
      <c r="D7" s="367"/>
      <c r="E7" s="360" t="s">
        <v>519</v>
      </c>
      <c r="F7" s="360"/>
    </row>
    <row r="8" spans="1:19" ht="24" customHeight="1">
      <c r="A8" s="366"/>
      <c r="B8" s="367"/>
      <c r="C8" s="367"/>
      <c r="D8" s="367"/>
      <c r="E8" s="361" t="s">
        <v>520</v>
      </c>
      <c r="F8" s="361"/>
    </row>
    <row r="9" spans="1:19" ht="24" customHeight="1">
      <c r="A9" s="366" t="s">
        <v>521</v>
      </c>
      <c r="B9" s="367" t="s">
        <v>522</v>
      </c>
      <c r="C9" s="367"/>
      <c r="D9" s="367"/>
      <c r="E9" s="360" t="s">
        <v>519</v>
      </c>
      <c r="F9" s="360"/>
    </row>
    <row r="10" spans="1:19" ht="24" customHeight="1">
      <c r="A10" s="366"/>
      <c r="B10" s="367"/>
      <c r="C10" s="367"/>
      <c r="D10" s="367"/>
      <c r="E10" s="362" t="s">
        <v>523</v>
      </c>
      <c r="F10" s="362"/>
    </row>
    <row r="11" spans="1:19" ht="24" customHeight="1">
      <c r="A11" s="366" t="s">
        <v>524</v>
      </c>
      <c r="B11" s="367" t="s">
        <v>525</v>
      </c>
      <c r="C11" s="367"/>
      <c r="D11" s="367"/>
      <c r="E11" s="360" t="s">
        <v>519</v>
      </c>
      <c r="F11" s="360"/>
    </row>
    <row r="12" spans="1:19" ht="24" customHeight="1">
      <c r="A12" s="366"/>
      <c r="B12" s="367"/>
      <c r="C12" s="367"/>
      <c r="D12" s="367"/>
      <c r="E12" s="362" t="s">
        <v>526</v>
      </c>
      <c r="F12" s="362"/>
    </row>
    <row r="13" spans="1:19" ht="24" customHeight="1">
      <c r="A13" s="366" t="s">
        <v>527</v>
      </c>
      <c r="B13" s="367" t="s">
        <v>528</v>
      </c>
      <c r="C13" s="367"/>
      <c r="D13" s="367"/>
      <c r="E13" s="360" t="s">
        <v>529</v>
      </c>
      <c r="F13" s="360"/>
    </row>
    <row r="14" spans="1:19" ht="24" customHeight="1">
      <c r="A14" s="366"/>
      <c r="B14" s="367"/>
      <c r="C14" s="367"/>
      <c r="D14" s="367"/>
      <c r="E14" s="362" t="s">
        <v>530</v>
      </c>
      <c r="F14" s="362"/>
    </row>
    <row r="15" spans="1:19" ht="24" customHeight="1">
      <c r="A15" s="366" t="s">
        <v>531</v>
      </c>
      <c r="B15" s="367" t="s">
        <v>532</v>
      </c>
      <c r="C15" s="367"/>
      <c r="D15" s="367"/>
      <c r="E15" s="360" t="s">
        <v>529</v>
      </c>
      <c r="F15" s="360"/>
    </row>
    <row r="16" spans="1:19" ht="24" customHeight="1">
      <c r="A16" s="366"/>
      <c r="B16" s="367"/>
      <c r="C16" s="367"/>
      <c r="D16" s="367"/>
      <c r="E16" s="363" t="s">
        <v>530</v>
      </c>
      <c r="F16" s="363"/>
    </row>
    <row r="17" spans="1:6" ht="24" customHeight="1">
      <c r="A17" s="366" t="s">
        <v>533</v>
      </c>
      <c r="B17" s="367" t="s">
        <v>534</v>
      </c>
      <c r="C17" s="367"/>
      <c r="D17" s="367"/>
      <c r="E17" s="360" t="s">
        <v>519</v>
      </c>
      <c r="F17" s="360"/>
    </row>
    <row r="18" spans="1:6" ht="40.5" customHeight="1">
      <c r="A18" s="366"/>
      <c r="B18" s="367"/>
      <c r="C18" s="367"/>
      <c r="D18" s="367"/>
      <c r="E18" s="362" t="s">
        <v>535</v>
      </c>
      <c r="F18" s="362"/>
    </row>
    <row r="19" spans="1:6" ht="24" customHeight="1">
      <c r="A19" s="366" t="s">
        <v>536</v>
      </c>
      <c r="B19" s="367" t="s">
        <v>537</v>
      </c>
      <c r="C19" s="367"/>
      <c r="D19" s="367"/>
      <c r="E19" s="360" t="s">
        <v>519</v>
      </c>
      <c r="F19" s="360"/>
    </row>
    <row r="20" spans="1:6" ht="24" customHeight="1">
      <c r="A20" s="366"/>
      <c r="B20" s="367"/>
      <c r="C20" s="367"/>
      <c r="D20" s="367"/>
      <c r="E20" s="362" t="s">
        <v>538</v>
      </c>
      <c r="F20" s="362"/>
    </row>
    <row r="21" spans="1:6" ht="24" customHeight="1">
      <c r="A21" s="366" t="s">
        <v>539</v>
      </c>
      <c r="B21" s="368" t="s">
        <v>540</v>
      </c>
      <c r="C21" s="368"/>
      <c r="D21" s="368"/>
      <c r="E21" s="360" t="s">
        <v>519</v>
      </c>
      <c r="F21" s="360"/>
    </row>
    <row r="22" spans="1:6" ht="24" customHeight="1">
      <c r="A22" s="366"/>
      <c r="B22" s="368"/>
      <c r="C22" s="368"/>
      <c r="D22" s="368"/>
      <c r="E22" s="363" t="s">
        <v>535</v>
      </c>
      <c r="F22" s="363"/>
    </row>
    <row r="23" spans="1:6" ht="47.65" customHeight="1">
      <c r="A23" s="4" t="s">
        <v>541</v>
      </c>
      <c r="B23" s="369" t="s">
        <v>542</v>
      </c>
      <c r="C23" s="369"/>
      <c r="D23" s="369"/>
      <c r="E23" s="369"/>
      <c r="F23" s="369"/>
    </row>
    <row r="24" spans="1:6" ht="59.25" customHeight="1">
      <c r="A24" s="360" t="s">
        <v>543</v>
      </c>
      <c r="B24" s="360"/>
      <c r="C24" s="360"/>
      <c r="D24" s="360"/>
      <c r="E24" s="360"/>
      <c r="F24" s="360"/>
    </row>
    <row r="25" spans="1:6" ht="43.5" customHeight="1">
      <c r="A25" s="11"/>
      <c r="B25" s="12"/>
      <c r="C25" s="12"/>
      <c r="D25" s="13">
        <f ca="1">TODAY()</f>
        <v>43831</v>
      </c>
      <c r="E25" s="12"/>
      <c r="F25" s="14"/>
    </row>
    <row r="26" spans="1:6" ht="14.45" customHeight="1">
      <c r="A26" s="370" t="s">
        <v>544</v>
      </c>
      <c r="B26" s="356"/>
      <c r="C26" s="356"/>
      <c r="D26" s="356"/>
      <c r="E26" s="356"/>
      <c r="F26" s="356"/>
    </row>
    <row r="28" spans="1:6" ht="28.15" customHeight="1">
      <c r="A28" s="371" t="s">
        <v>545</v>
      </c>
      <c r="B28" s="356"/>
      <c r="C28" s="356"/>
      <c r="D28" s="356"/>
      <c r="E28" s="356"/>
      <c r="F28" s="356"/>
    </row>
    <row r="29" spans="1:6" ht="18.75">
      <c r="A29" s="15" t="s">
        <v>546</v>
      </c>
    </row>
    <row r="30" spans="1:6" ht="18.75">
      <c r="A30" s="16" t="s">
        <v>547</v>
      </c>
    </row>
    <row r="31" spans="1:6" ht="18.75">
      <c r="A31" s="16" t="s">
        <v>548</v>
      </c>
    </row>
    <row r="32" spans="1:6" ht="17.45" customHeight="1">
      <c r="A32" s="364" t="s">
        <v>549</v>
      </c>
      <c r="B32" s="356"/>
      <c r="C32" s="356"/>
      <c r="D32" s="356"/>
      <c r="E32" s="356"/>
      <c r="F32" s="356"/>
    </row>
    <row r="33" spans="1:6" ht="18.75">
      <c r="A33" s="16" t="s">
        <v>550</v>
      </c>
    </row>
    <row r="34" spans="1:6" ht="18.75">
      <c r="A34" s="16" t="s">
        <v>551</v>
      </c>
    </row>
    <row r="35" spans="1:6" ht="18.75">
      <c r="A35" s="16" t="s">
        <v>552</v>
      </c>
    </row>
    <row r="36" spans="1:6" ht="18.75">
      <c r="A36" s="16" t="s">
        <v>553</v>
      </c>
    </row>
    <row r="37" spans="1:6" ht="18.75">
      <c r="A37" s="15" t="s">
        <v>554</v>
      </c>
    </row>
    <row r="38" spans="1:6" ht="52.15" customHeight="1">
      <c r="A38" s="364" t="s">
        <v>555</v>
      </c>
      <c r="B38" s="356"/>
      <c r="C38" s="356"/>
      <c r="D38" s="356"/>
      <c r="E38" s="356"/>
      <c r="F38" s="356"/>
    </row>
    <row r="39" spans="1:6" ht="52.15" customHeight="1">
      <c r="A39" s="364" t="s">
        <v>556</v>
      </c>
      <c r="B39" s="356"/>
      <c r="C39" s="356"/>
      <c r="D39" s="356"/>
      <c r="E39" s="356"/>
      <c r="F39" s="356"/>
    </row>
    <row r="40" spans="1:6" ht="34.9" customHeight="1">
      <c r="A40" s="364" t="s">
        <v>557</v>
      </c>
      <c r="B40" s="356"/>
      <c r="C40" s="356"/>
      <c r="D40" s="356"/>
      <c r="E40" s="356"/>
      <c r="F40" s="356"/>
    </row>
    <row r="41" spans="1:6" ht="52.15" customHeight="1">
      <c r="A41" s="364" t="s">
        <v>558</v>
      </c>
      <c r="B41" s="356"/>
      <c r="C41" s="356"/>
      <c r="D41" s="356"/>
      <c r="E41" s="356"/>
      <c r="F41" s="356"/>
    </row>
    <row r="42" spans="1:6" ht="34.9" customHeight="1">
      <c r="A42" s="364" t="s">
        <v>559</v>
      </c>
      <c r="B42" s="356"/>
      <c r="C42" s="356"/>
      <c r="D42" s="356"/>
      <c r="E42" s="356"/>
      <c r="F42" s="356"/>
    </row>
    <row r="43" spans="1:6" ht="87" customHeight="1">
      <c r="A43" s="364" t="s">
        <v>560</v>
      </c>
      <c r="B43" s="356"/>
      <c r="C43" s="356"/>
      <c r="D43" s="356"/>
      <c r="E43" s="356"/>
      <c r="F43" s="356"/>
    </row>
    <row r="44" spans="1:6" ht="52.15" customHeight="1">
      <c r="A44" s="364" t="s">
        <v>561</v>
      </c>
      <c r="B44" s="356"/>
      <c r="C44" s="356"/>
      <c r="D44" s="356"/>
      <c r="E44" s="356"/>
      <c r="F44" s="356"/>
    </row>
    <row r="45" spans="1:6" ht="18.75">
      <c r="A45" s="16" t="s">
        <v>562</v>
      </c>
    </row>
    <row r="46" spans="1:6" ht="18.75">
      <c r="A46" s="15" t="s">
        <v>563</v>
      </c>
    </row>
    <row r="47" spans="1:6" ht="41.45" customHeight="1">
      <c r="A47" s="365" t="s">
        <v>564</v>
      </c>
      <c r="B47" s="356"/>
      <c r="C47" s="356"/>
      <c r="D47" s="356"/>
      <c r="E47" s="356"/>
      <c r="F47" s="356"/>
    </row>
    <row r="48" spans="1:6" ht="18.75">
      <c r="A48" s="15" t="s">
        <v>565</v>
      </c>
    </row>
    <row r="49" spans="1:1" ht="18.75">
      <c r="A49" s="16" t="s">
        <v>566</v>
      </c>
    </row>
    <row r="50" spans="1:1" ht="18.75">
      <c r="A50" s="15" t="s">
        <v>567</v>
      </c>
    </row>
    <row r="51" spans="1:1" ht="18.75">
      <c r="A51" s="16" t="s">
        <v>568</v>
      </c>
    </row>
  </sheetData>
  <mergeCells count="50">
    <mergeCell ref="B15:D16"/>
    <mergeCell ref="B9:D10"/>
    <mergeCell ref="B11:D12"/>
    <mergeCell ref="B7:D8"/>
    <mergeCell ref="A42:F42"/>
    <mergeCell ref="A38:F38"/>
    <mergeCell ref="A39:F39"/>
    <mergeCell ref="A40:F40"/>
    <mergeCell ref="A41:F41"/>
    <mergeCell ref="E22:F22"/>
    <mergeCell ref="B23:F23"/>
    <mergeCell ref="A24:F24"/>
    <mergeCell ref="A26:F26"/>
    <mergeCell ref="A28:F28"/>
    <mergeCell ref="E17:F17"/>
    <mergeCell ref="E18:F18"/>
    <mergeCell ref="A43:F43"/>
    <mergeCell ref="A44:F44"/>
    <mergeCell ref="A47:F47"/>
    <mergeCell ref="A7:A8"/>
    <mergeCell ref="A9:A10"/>
    <mergeCell ref="A11:A12"/>
    <mergeCell ref="A13:A14"/>
    <mergeCell ref="A15:A16"/>
    <mergeCell ref="A17:A18"/>
    <mergeCell ref="A19:A20"/>
    <mergeCell ref="A21:A22"/>
    <mergeCell ref="B17:D18"/>
    <mergeCell ref="B19:D20"/>
    <mergeCell ref="B21:D22"/>
    <mergeCell ref="B13:D14"/>
    <mergeCell ref="A32:F32"/>
    <mergeCell ref="E19:F19"/>
    <mergeCell ref="E20:F20"/>
    <mergeCell ref="E21:F21"/>
    <mergeCell ref="E12:F12"/>
    <mergeCell ref="E13:F13"/>
    <mergeCell ref="E14:F14"/>
    <mergeCell ref="E15:F15"/>
    <mergeCell ref="E16:F16"/>
    <mergeCell ref="E7:F7"/>
    <mergeCell ref="E8:F8"/>
    <mergeCell ref="E9:F9"/>
    <mergeCell ref="E10:F10"/>
    <mergeCell ref="E11:F11"/>
    <mergeCell ref="A1:F1"/>
    <mergeCell ref="C2:D2"/>
    <mergeCell ref="B3:D3"/>
    <mergeCell ref="B6:D6"/>
    <mergeCell ref="E6:F6"/>
  </mergeCells>
  <phoneticPr fontId="93" type="noConversion"/>
  <hyperlinks>
    <hyperlink ref="A47" r:id="rId1"/>
  </hyperlinks>
  <pageMargins left="0.75" right="0.75" top="1" bottom="0.91944444444444495" header="0.5" footer="0.5"/>
  <pageSetup paperSize="9" orientation="portrait" horizontalDpi="1200" verticalDpi="1200"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11</vt:i4>
      </vt:variant>
      <vt:variant>
        <vt:lpstr>命名范围</vt:lpstr>
      </vt:variant>
      <vt:variant>
        <vt:i4>12</vt:i4>
      </vt:variant>
    </vt:vector>
  </HeadingPairs>
  <TitlesOfParts>
    <vt:vector size="23" baseType="lpstr">
      <vt:lpstr>快速打印</vt:lpstr>
      <vt:lpstr>安检委托书</vt:lpstr>
      <vt:lpstr>申请表</vt:lpstr>
      <vt:lpstr>人工检验表</vt:lpstr>
      <vt:lpstr>综检委托书</vt:lpstr>
      <vt:lpstr>综检核查表</vt:lpstr>
      <vt:lpstr>综检项目判定表</vt:lpstr>
      <vt:lpstr>人工检验记录单</vt:lpstr>
      <vt:lpstr>达标车辆核查记录表客车</vt:lpstr>
      <vt:lpstr>达标车辆核查记录表货车</vt:lpstr>
      <vt:lpstr>等级评定复核表</vt:lpstr>
      <vt:lpstr>安检委托书!Print_Area</vt:lpstr>
      <vt:lpstr>达标车辆核查记录表货车!Print_Area</vt:lpstr>
      <vt:lpstr>达标车辆核查记录表客车!Print_Area</vt:lpstr>
      <vt:lpstr>等级评定复核表!Print_Area</vt:lpstr>
      <vt:lpstr>快速打印!Print_Area</vt:lpstr>
      <vt:lpstr>汽车排放检验外检表!Print_Area</vt:lpstr>
      <vt:lpstr>人工检验表!Print_Area</vt:lpstr>
      <vt:lpstr>人工检验记录单!Print_Area</vt:lpstr>
      <vt:lpstr>申请表!Print_Area</vt:lpstr>
      <vt:lpstr>综检核查表!Print_Area</vt:lpstr>
      <vt:lpstr>综检委托书!Print_Area</vt:lpstr>
      <vt:lpstr>综检项目判定表!Print_Area</vt:lpstr>
    </vt:vector>
  </TitlesOfParts>
  <Manager>李海青</Manager>
  <Company>黎城浦阳</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表单打印系统</dc:title>
  <dc:creator>李海青; 周海军</dc:creator>
  <cp:lastModifiedBy>xbany</cp:lastModifiedBy>
  <cp:lastPrinted>2020-01-01T03:17:12Z</cp:lastPrinted>
  <dcterms:created xsi:type="dcterms:W3CDTF">2018-10-26T00:14:00Z</dcterms:created>
  <dcterms:modified xsi:type="dcterms:W3CDTF">2020-01-01T03:19:21Z</dcterms:modified>
  <cp:category>黎城浦阳</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2052-11.1.0.9198</vt:lpwstr>
  </property>
</Properties>
</file>